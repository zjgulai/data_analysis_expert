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8209"/>
  <workbookPr/>
  <mc:AlternateContent xmlns:mc="http://schemas.openxmlformats.org/markup-compatibility/2006">
    <mc:Choice Requires="x15">
      <x15ac:absPath xmlns:x15ac="http://schemas.microsoft.com/office/spreadsheetml/2010/11/ac" url="/Users/growingio/Desktop/UBA Growth/"/>
    </mc:Choice>
  </mc:AlternateContent>
  <bookViews>
    <workbookView xWindow="-20" yWindow="480" windowWidth="28800" windowHeight="17540" activeTab="3"/>
  </bookViews>
  <sheets>
    <sheet name="介绍" sheetId="1" r:id="rId1"/>
    <sheet name="埋点事件+事件级变量" sheetId="2" r:id="rId2"/>
    <sheet name="登录用户id+变量" sheetId="3" r:id="rId3"/>
    <sheet name="转化变量" sheetId="4" r:id="rId4"/>
    <sheet name="页面级变量" sheetId="5" r:id="rId5"/>
    <sheet name="访问用户变量" sheetId="6" r:id="rId6"/>
  </sheets>
  <definedNames>
    <definedName name="事件级变量" localSheetId="1">'埋点事件+事件级变量'!$A$26:$A$62</definedName>
    <definedName name="事件级变量">#REF!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GoogleSheetsCustomDataVersion1">
      <go:sheetsCustomData xmlns:go="http://customooxmlschemas.google.com/" r:id="rId9" roundtripDataSignature="AMtx7mjSzlQyImoUAbvJGKgfbAA6bmzWPw=="/>
    </ext>
  </extLst>
</workbook>
</file>

<file path=xl/calcChain.xml><?xml version="1.0" encoding="utf-8"?>
<calcChain xmlns="http://schemas.openxmlformats.org/spreadsheetml/2006/main">
  <c r="P27" i="2" l="1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26" i="2"/>
  <c r="X14" i="6"/>
  <c r="T14" i="6"/>
  <c r="W14" i="6"/>
  <c r="R14" i="6"/>
  <c r="V14" i="6"/>
  <c r="P14" i="6"/>
  <c r="Y16" i="5"/>
  <c r="X16" i="5"/>
  <c r="W16" i="5"/>
  <c r="U16" i="5"/>
  <c r="S16" i="5"/>
  <c r="Q16" i="5"/>
  <c r="Y18" i="4"/>
  <c r="U18" i="4"/>
  <c r="X18" i="4"/>
  <c r="S18" i="4"/>
  <c r="W18" i="4"/>
  <c r="Q18" i="4"/>
  <c r="V21" i="3"/>
  <c r="U21" i="3"/>
  <c r="T21" i="3"/>
  <c r="R21" i="3"/>
  <c r="P21" i="3"/>
  <c r="N21" i="3"/>
  <c r="S33" i="2"/>
  <c r="S32" i="2"/>
  <c r="T32" i="2"/>
  <c r="S30" i="2"/>
  <c r="S29" i="2"/>
  <c r="T29" i="2"/>
  <c r="S27" i="2"/>
  <c r="S26" i="2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T33" i="2"/>
  <c r="R28" i="2"/>
  <c r="S28" i="2"/>
  <c r="T28" i="2"/>
  <c r="R33" i="2"/>
  <c r="T26" i="2"/>
  <c r="T30" i="2"/>
  <c r="S31" i="2"/>
  <c r="AD26" i="2"/>
  <c r="R29" i="2"/>
  <c r="T31" i="2"/>
  <c r="R27" i="2"/>
  <c r="R31" i="2"/>
  <c r="R32" i="2"/>
  <c r="T27" i="2"/>
  <c r="R26" i="2"/>
  <c r="R30" i="2"/>
  <c r="AB26" i="2"/>
  <c r="AF26" i="2"/>
  <c r="Z26" i="2"/>
</calcChain>
</file>

<file path=xl/sharedStrings.xml><?xml version="1.0" encoding="utf-8"?>
<sst xmlns="http://schemas.openxmlformats.org/spreadsheetml/2006/main" count="465" uniqueCount="348">
  <si>
    <r>
      <rPr>
        <sz val="16"/>
        <color rgb="FF000000"/>
        <rFont val="微软雅黑"/>
        <family val="2"/>
        <charset val="134"/>
      </rPr>
      <t>登录用户ID+变量汇总（业务配置</t>
    </r>
    <r>
      <rPr>
        <sz val="16"/>
        <color rgb="FF000000"/>
        <rFont val="Arial"/>
        <family val="2"/>
      </rPr>
      <t>+</t>
    </r>
    <r>
      <rPr>
        <sz val="16"/>
        <color rgb="FF000000"/>
        <rFont val="微软雅黑"/>
        <family val="2"/>
        <charset val="134"/>
      </rPr>
      <t>技术埋点）</t>
    </r>
  </si>
  <si>
    <t>文档使用说明</t>
  </si>
  <si>
    <t>自定义事件+事件级变量汇总（业务配置+技术埋点）</t>
  </si>
  <si>
    <r>
      <rPr>
        <b/>
        <sz val="14"/>
        <color rgb="FF000000"/>
        <rFont val="微软雅黑"/>
        <family val="2"/>
        <charset val="134"/>
      </rPr>
      <t>使用说明</t>
    </r>
  </si>
  <si>
    <t>使用说明</t>
  </si>
  <si>
    <t>业务人员：</t>
  </si>
  <si>
    <t>1. 在GrowingIO 后台导航栏中找到【数据中心】-【数据管理】；</t>
  </si>
  <si>
    <t>文档介绍</t>
  </si>
  <si>
    <t>2. 点击左侧【用户变量】导航，打开的登录用户ID【启用状态】开关</t>
  </si>
  <si>
    <t>此文档为数据实施需求计划模板，帮助您更高效地完成实施，从而更快体验到 GrowingIO 的价值。</t>
  </si>
  <si>
    <t>使用方法</t>
  </si>
  <si>
    <t>1. 根据业务目标，规划指标体系。</t>
  </si>
  <si>
    <t>2. 根据下左表【事件级变量配置】，在GrowingIO后台【事件变量】-【事件级变量】中进行事件级变量的配置；</t>
  </si>
  <si>
    <t>2. 基于指标体系，完成【埋点事件+事件级变量】sheet 的填写。</t>
  </si>
  <si>
    <t>3. 根据本表【埋点事件列表】列，在GrowingIO后台【埋点事件】导航中进行埋点事件的配置。</t>
  </si>
  <si>
    <t>注意：请保证在完成【事件级变量】的配置之后，再进行后续的【埋点事件】的配置。
因为在配置“自定义事件”时，需要选择与之关联的事件级变量，
如果没有先行配置好“事件级变量”的话，是无法关联的。</t>
  </si>
  <si>
    <t>技术人员：</t>
  </si>
  <si>
    <t>请根据【代码设置】表，完成代码实施。</t>
  </si>
  <si>
    <t>3.【登录用户变量】、【转化变量】、【页面级变量】、【访问用户变量】根据实际需求选择性填写。</t>
  </si>
  <si>
    <t>参考文档</t>
  </si>
  <si>
    <t>数据规划</t>
  </si>
  <si>
    <t>3. 根据下表，在【登录用户变量】页签中进行登录用户变量的配置；</t>
  </si>
  <si>
    <t>请根据下表，完成代码实施。</t>
  </si>
  <si>
    <t>事件级变量配置</t>
  </si>
  <si>
    <r>
      <rPr>
        <sz val="14"/>
        <rFont val="微软雅黑"/>
        <family val="2"/>
        <charset val="134"/>
      </rPr>
      <t>注意</t>
    </r>
  </si>
  <si>
    <t>必须在上传了登录用户ID的基础上，才能上传登录用户变量。因登录用户ID是主键，因此若未上传登录用户ID，任何上传的登录用户变量都是无效的。</t>
  </si>
  <si>
    <t>技术文档</t>
  </si>
  <si>
    <r>
      <rPr>
        <b/>
        <sz val="14"/>
        <rFont val="微软雅黑"/>
        <family val="2"/>
        <charset val="134"/>
      </rPr>
      <t>代码设置</t>
    </r>
  </si>
  <si>
    <r>
      <rPr>
        <sz val="14"/>
        <color rgb="FF000000"/>
        <rFont val="微软雅黑"/>
        <family val="2"/>
        <charset val="134"/>
      </rPr>
      <t>登录用户</t>
    </r>
    <r>
      <rPr>
        <sz val="14"/>
        <color rgb="FF000000"/>
        <rFont val="Arial"/>
        <family val="2"/>
      </rPr>
      <t>ID</t>
    </r>
    <r>
      <rPr>
        <sz val="14"/>
        <color rgb="FF000000"/>
        <rFont val="微软雅黑"/>
        <family val="2"/>
        <charset val="134"/>
      </rPr>
      <t>（业务配置</t>
    </r>
    <r>
      <rPr>
        <sz val="14"/>
        <color rgb="FF000000"/>
        <rFont val="Arial"/>
        <family val="2"/>
      </rPr>
      <t>+</t>
    </r>
    <r>
      <rPr>
        <sz val="14"/>
        <color rgb="FF000000"/>
        <rFont val="微软雅黑"/>
        <family val="2"/>
        <charset val="134"/>
      </rPr>
      <t>技术埋点）</t>
    </r>
  </si>
  <si>
    <t>模块/场景</t>
  </si>
  <si>
    <r>
      <rPr>
        <sz val="14"/>
        <rFont val="微软雅黑"/>
        <family val="2"/>
        <charset val="134"/>
      </rPr>
      <t>示例代码</t>
    </r>
  </si>
  <si>
    <t>埋点事件列表</t>
  </si>
  <si>
    <t>数据验证</t>
  </si>
  <si>
    <t>关联的事件级变量（属性）</t>
  </si>
  <si>
    <r>
      <rPr>
        <sz val="14"/>
        <rFont val="微软雅黑"/>
        <family val="2"/>
        <charset val="134"/>
      </rPr>
      <t>可隐藏</t>
    </r>
  </si>
  <si>
    <r>
      <rPr>
        <b/>
        <sz val="14"/>
        <color rgb="FF000000"/>
        <rFont val="微软雅黑"/>
        <family val="2"/>
        <charset val="134"/>
      </rPr>
      <t>最佳实践</t>
    </r>
  </si>
  <si>
    <r>
      <rPr>
        <b/>
        <sz val="14"/>
        <rFont val="微软雅黑"/>
        <family val="2"/>
        <charset val="134"/>
      </rPr>
      <t>示例代码</t>
    </r>
  </si>
  <si>
    <r>
      <t xml:space="preserve">PC </t>
    </r>
    <r>
      <rPr>
        <b/>
        <sz val="14"/>
        <color rgb="FF000000"/>
        <rFont val="微软雅黑"/>
        <family val="2"/>
        <charset val="134"/>
      </rPr>
      <t>接口原型</t>
    </r>
  </si>
  <si>
    <r>
      <t xml:space="preserve">iOS </t>
    </r>
    <r>
      <rPr>
        <b/>
        <sz val="14"/>
        <color rgb="FF000000"/>
        <rFont val="微软雅黑"/>
        <family val="2"/>
        <charset val="134"/>
      </rPr>
      <t>接口原型</t>
    </r>
  </si>
  <si>
    <r>
      <t xml:space="preserve">Android </t>
    </r>
    <r>
      <rPr>
        <b/>
        <sz val="14"/>
        <color rgb="FF000000"/>
        <rFont val="微软雅黑"/>
        <family val="2"/>
        <charset val="134"/>
      </rPr>
      <t>接口原型</t>
    </r>
  </si>
  <si>
    <t>小程序接口原型</t>
  </si>
  <si>
    <r>
      <rPr>
        <b/>
        <sz val="14"/>
        <color rgb="FF000000"/>
        <rFont val="微软雅黑"/>
        <family val="2"/>
        <charset val="134"/>
      </rPr>
      <t>事件级变量名称</t>
    </r>
  </si>
  <si>
    <t>验证结果</t>
  </si>
  <si>
    <r>
      <rPr>
        <b/>
        <sz val="14"/>
        <color rgb="FF000000"/>
        <rFont val="微软雅黑"/>
        <family val="2"/>
        <charset val="134"/>
      </rPr>
      <t>事件级变量标识符</t>
    </r>
  </si>
  <si>
    <r>
      <rPr>
        <b/>
        <sz val="14"/>
        <color rgb="FF000000"/>
        <rFont val="微软雅黑"/>
        <family val="2"/>
        <charset val="134"/>
      </rPr>
      <t>类型</t>
    </r>
  </si>
  <si>
    <r>
      <rPr>
        <b/>
        <sz val="14"/>
        <color rgb="FF000000"/>
        <rFont val="微软雅黑"/>
        <family val="2"/>
        <charset val="134"/>
      </rPr>
      <t>模块</t>
    </r>
    <r>
      <rPr>
        <b/>
        <sz val="14"/>
        <color rgb="FF000000"/>
        <rFont val="Arial"/>
        <family val="2"/>
      </rPr>
      <t>/</t>
    </r>
    <r>
      <rPr>
        <b/>
        <sz val="14"/>
        <color rgb="FF000000"/>
        <rFont val="微软雅黑"/>
        <family val="2"/>
        <charset val="134"/>
      </rPr>
      <t>场景</t>
    </r>
  </si>
  <si>
    <t>验证问题描述</t>
  </si>
  <si>
    <t>客户回复</t>
  </si>
  <si>
    <t>截图说明
（非必填）</t>
  </si>
  <si>
    <r>
      <rPr>
        <b/>
        <sz val="14"/>
        <color rgb="FF000000"/>
        <rFont val="微软雅黑"/>
        <family val="2"/>
        <charset val="134"/>
      </rPr>
      <t>优先级</t>
    </r>
  </si>
  <si>
    <r>
      <rPr>
        <b/>
        <sz val="14"/>
        <color rgb="FF000000"/>
        <rFont val="微软雅黑"/>
        <family val="2"/>
        <charset val="134"/>
      </rPr>
      <t>是否埋点？</t>
    </r>
  </si>
  <si>
    <t>会员运营</t>
  </si>
  <si>
    <t>#</t>
  </si>
  <si>
    <r>
      <rPr>
        <b/>
        <sz val="14"/>
        <color rgb="FF000000"/>
        <rFont val="微软雅黑"/>
        <family val="2"/>
        <charset val="134"/>
      </rPr>
      <t>事件名称</t>
    </r>
  </si>
  <si>
    <r>
      <rPr>
        <b/>
        <sz val="14"/>
        <color rgb="FF000000"/>
        <rFont val="微软雅黑"/>
        <family val="2"/>
        <charset val="134"/>
      </rPr>
      <t>触发时机</t>
    </r>
  </si>
  <si>
    <r>
      <rPr>
        <b/>
        <sz val="14"/>
        <color rgb="FF000000"/>
        <rFont val="微软雅黑"/>
        <family val="2"/>
        <charset val="134"/>
      </rPr>
      <t>类型</t>
    </r>
  </si>
  <si>
    <r>
      <rPr>
        <b/>
        <sz val="14"/>
        <color rgb="FF000000"/>
        <rFont val="微软雅黑"/>
        <family val="2"/>
        <charset val="134"/>
      </rPr>
      <t>描述</t>
    </r>
    <r>
      <rPr>
        <b/>
        <sz val="14"/>
        <color rgb="FF000000"/>
        <rFont val="Arial"/>
        <family val="2"/>
      </rPr>
      <t>/</t>
    </r>
    <r>
      <rPr>
        <b/>
        <sz val="14"/>
        <color rgb="FF000000"/>
        <rFont val="微软雅黑"/>
        <family val="2"/>
        <charset val="134"/>
      </rPr>
      <t>备注</t>
    </r>
  </si>
  <si>
    <r>
      <rPr>
        <b/>
        <sz val="14"/>
        <color rgb="FF000000"/>
        <rFont val="微软雅黑"/>
        <family val="2"/>
        <charset val="134"/>
      </rPr>
      <t>事件级变量名称</t>
    </r>
  </si>
  <si>
    <r>
      <rPr>
        <b/>
        <sz val="14"/>
        <color rgb="FF000000"/>
        <rFont val="微软雅黑"/>
        <family val="2"/>
        <charset val="134"/>
      </rPr>
      <t>事件级变量标识符</t>
    </r>
  </si>
  <si>
    <r>
      <rPr>
        <sz val="12"/>
        <color rgb="FF000000"/>
        <rFont val="微软雅黑"/>
        <family val="2"/>
        <charset val="134"/>
      </rPr>
      <t>用户每次打开产品时判断是否登录，若登录则调用</t>
    </r>
    <r>
      <rPr>
        <sz val="12"/>
        <color rgb="FF000000"/>
        <rFont val="Arial"/>
        <family val="2"/>
      </rPr>
      <t>setUserId</t>
    </r>
    <r>
      <rPr>
        <sz val="12"/>
        <color rgb="FF000000"/>
        <rFont val="微软雅黑"/>
        <family val="2"/>
        <charset val="134"/>
      </rPr>
      <t>方法；
当用户退出登录（处于非登录状态时），调用</t>
    </r>
    <r>
      <rPr>
        <sz val="12"/>
        <color rgb="FF000000"/>
        <rFont val="Arial"/>
        <family val="2"/>
      </rPr>
      <t>clearUserId</t>
    </r>
  </si>
  <si>
    <r>
      <rPr>
        <b/>
        <sz val="14"/>
        <color rgb="FF000000"/>
        <rFont val="微软雅黑"/>
        <family val="2"/>
        <charset val="134"/>
      </rPr>
      <t>类型</t>
    </r>
  </si>
  <si>
    <r>
      <rPr>
        <b/>
        <sz val="14"/>
        <color rgb="FF000000"/>
        <rFont val="微软雅黑"/>
        <family val="2"/>
        <charset val="134"/>
      </rPr>
      <t>取值示例</t>
    </r>
  </si>
  <si>
    <t>JS/小程序变量</t>
  </si>
  <si>
    <r>
      <t>//</t>
    </r>
    <r>
      <rPr>
        <sz val="12"/>
        <color rgb="FF000000"/>
        <rFont val="SimSun"/>
        <family val="3"/>
        <charset val="134"/>
      </rPr>
      <t>设置登录用户</t>
    </r>
    <r>
      <rPr>
        <sz val="12"/>
        <color rgb="FF000000"/>
        <rFont val="Arial"/>
        <family val="2"/>
      </rPr>
      <t>ID
gio('setUserId', userId);
//</t>
    </r>
    <r>
      <rPr>
        <sz val="12"/>
        <color rgb="FF000000"/>
        <rFont val="SimSun"/>
        <family val="3"/>
        <charset val="134"/>
      </rPr>
      <t>清除登录用户</t>
    </r>
    <r>
      <rPr>
        <sz val="12"/>
        <color rgb="FF000000"/>
        <rFont val="Arial"/>
        <family val="2"/>
      </rPr>
      <t>ID
gio('clearUserId');</t>
    </r>
  </si>
  <si>
    <r>
      <t>Android</t>
    </r>
    <r>
      <rPr>
        <sz val="14"/>
        <rFont val="微软雅黑"/>
        <family val="2"/>
        <charset val="134"/>
      </rPr>
      <t>变量</t>
    </r>
  </si>
  <si>
    <r>
      <t>iOS</t>
    </r>
    <r>
      <rPr>
        <sz val="14"/>
        <rFont val="微软雅黑"/>
        <family val="2"/>
        <charset val="134"/>
      </rPr>
      <t>变量</t>
    </r>
  </si>
  <si>
    <r>
      <t xml:space="preserve">// </t>
    </r>
    <r>
      <rPr>
        <sz val="12"/>
        <color rgb="FF000000"/>
        <rFont val="SimSun"/>
        <family val="3"/>
        <charset val="134"/>
      </rPr>
      <t>设置登录用户</t>
    </r>
    <r>
      <rPr>
        <sz val="12"/>
        <color rgb="FF000000"/>
        <rFont val="Arial"/>
        <family val="2"/>
      </rPr>
      <t>ID</t>
    </r>
    <r>
      <rPr>
        <sz val="12"/>
        <color rgb="FF000000"/>
        <rFont val="SimSun"/>
        <family val="3"/>
        <charset val="134"/>
      </rPr>
      <t xml:space="preserve">
</t>
    </r>
    <r>
      <rPr>
        <sz val="12"/>
        <color rgb="FF000000"/>
        <rFont val="Arial"/>
        <family val="2"/>
      </rPr>
      <t>+ (void)setUserId:(NSString *)userId;
// clearUserId API原型
+ (void)clearUserId;</t>
    </r>
  </si>
  <si>
    <r>
      <t xml:space="preserve">// </t>
    </r>
    <r>
      <rPr>
        <sz val="11"/>
        <color rgb="FF000000"/>
        <rFont val="SimSun"/>
        <family val="3"/>
        <charset val="134"/>
      </rPr>
      <t>设置登录用户</t>
    </r>
    <r>
      <rPr>
        <sz val="11"/>
        <color rgb="FF000000"/>
        <rFont val="Arial"/>
        <family val="2"/>
      </rPr>
      <t xml:space="preserve">ID
GrowingIO.getInstance().setUserId(String userId);
// </t>
    </r>
    <r>
      <rPr>
        <sz val="11"/>
        <color rgb="FF000000"/>
        <rFont val="SimSun"/>
        <family val="3"/>
        <charset val="134"/>
      </rPr>
      <t>清除登录用户</t>
    </r>
    <r>
      <rPr>
        <sz val="11"/>
        <color rgb="FF000000"/>
        <rFont val="Arial"/>
        <family val="2"/>
      </rPr>
      <t>ID
GrowingIO.getInstance().clearUserId();</t>
    </r>
  </si>
  <si>
    <t xml:space="preserve">// 设置登录用户ID
gio('setUserId', YOUR_USER_ID); </t>
  </si>
  <si>
    <t>Web JS 接口原型</t>
  </si>
  <si>
    <r>
      <t xml:space="preserve">Web JS </t>
    </r>
    <r>
      <rPr>
        <b/>
        <sz val="14"/>
        <color rgb="FF000000"/>
        <rFont val="微软雅黑"/>
        <family val="2"/>
        <charset val="134"/>
      </rPr>
      <t>示例代码</t>
    </r>
  </si>
  <si>
    <r>
      <t xml:space="preserve">iOS </t>
    </r>
    <r>
      <rPr>
        <b/>
        <sz val="14"/>
        <color rgb="FF000000"/>
        <rFont val="微软雅黑"/>
        <family val="2"/>
        <charset val="134"/>
      </rPr>
      <t>接口原型</t>
    </r>
  </si>
  <si>
    <r>
      <t xml:space="preserve">iOS </t>
    </r>
    <r>
      <rPr>
        <b/>
        <sz val="14"/>
        <color rgb="FF000000"/>
        <rFont val="微软雅黑"/>
        <family val="2"/>
        <charset val="134"/>
      </rPr>
      <t>示例代码</t>
    </r>
  </si>
  <si>
    <r>
      <t xml:space="preserve">Android </t>
    </r>
    <r>
      <rPr>
        <b/>
        <sz val="14"/>
        <color rgb="FF000000"/>
        <rFont val="微软雅黑"/>
        <family val="2"/>
        <charset val="134"/>
      </rPr>
      <t>接口原型</t>
    </r>
  </si>
  <si>
    <r>
      <t xml:space="preserve">Android </t>
    </r>
    <r>
      <rPr>
        <b/>
        <sz val="14"/>
        <color rgb="FF000000"/>
        <rFont val="微软雅黑"/>
        <family val="2"/>
        <charset val="134"/>
      </rPr>
      <t>示例代码</t>
    </r>
  </si>
  <si>
    <r>
      <rPr>
        <b/>
        <sz val="14"/>
        <color rgb="FF000000"/>
        <rFont val="微软雅黑"/>
        <family val="2"/>
        <charset val="134"/>
      </rPr>
      <t>小程序接口原型</t>
    </r>
  </si>
  <si>
    <r>
      <rPr>
        <b/>
        <sz val="14"/>
        <color rgb="FF000000"/>
        <rFont val="微软雅黑"/>
        <family val="2"/>
        <charset val="134"/>
      </rPr>
      <t>小程序示例代码</t>
    </r>
  </si>
  <si>
    <r>
      <rPr>
        <sz val="12"/>
        <color rgb="FF000000"/>
        <rFont val="微软雅黑"/>
        <family val="2"/>
        <charset val="134"/>
      </rPr>
      <t>商品</t>
    </r>
    <r>
      <rPr>
        <sz val="12"/>
        <color rgb="FF000000"/>
        <rFont val="Arial"/>
        <family val="2"/>
      </rPr>
      <t>ID</t>
    </r>
  </si>
  <si>
    <t>productId_var</t>
  </si>
  <si>
    <r>
      <rPr>
        <sz val="12"/>
        <color rgb="FF000000"/>
        <rFont val="微软雅黑"/>
        <family val="2"/>
        <charset val="134"/>
      </rPr>
      <t>字符串</t>
    </r>
  </si>
  <si>
    <r>
      <rPr>
        <b/>
        <sz val="12"/>
        <color rgb="FF000000"/>
        <rFont val="微软雅黑"/>
        <family val="2"/>
        <charset val="134"/>
      </rPr>
      <t>核心购买转化</t>
    </r>
  </si>
  <si>
    <t>验证未通过</t>
  </si>
  <si>
    <t>低</t>
  </si>
  <si>
    <t>登录时，未上传登录用户ID</t>
  </si>
  <si>
    <r>
      <rPr>
        <b/>
        <sz val="12"/>
        <color rgb="FF000000"/>
        <rFont val="微软雅黑"/>
        <family val="2"/>
        <charset val="134"/>
      </rPr>
      <t>是</t>
    </r>
  </si>
  <si>
    <r>
      <rPr>
        <u/>
        <sz val="12"/>
        <color rgb="FF0563C1"/>
        <rFont val="微软雅黑"/>
        <family val="2"/>
        <charset val="134"/>
      </rPr>
      <t>接口文档</t>
    </r>
  </si>
  <si>
    <t>productImp</t>
  </si>
  <si>
    <r>
      <rPr>
        <sz val="12"/>
        <color rgb="FF000000"/>
        <rFont val="微软雅黑"/>
        <family val="2"/>
        <charset val="134"/>
      </rPr>
      <t>商品曝光</t>
    </r>
  </si>
  <si>
    <r>
      <rPr>
        <sz val="12"/>
        <color rgb="FF000000"/>
        <rFont val="微软雅黑"/>
        <family val="2"/>
        <charset val="134"/>
      </rPr>
      <t>商品展示时触发</t>
    </r>
  </si>
  <si>
    <r>
      <rPr>
        <sz val="12"/>
        <color rgb="FF000000"/>
        <rFont val="微软雅黑"/>
        <family val="2"/>
        <charset val="134"/>
      </rPr>
      <t>计数器</t>
    </r>
  </si>
  <si>
    <r>
      <t xml:space="preserve"> </t>
    </r>
    <r>
      <rPr>
        <sz val="12"/>
        <color rgb="FF000000"/>
        <rFont val="微软雅黑"/>
        <family val="2"/>
        <charset val="134"/>
      </rPr>
      <t>衡量商品展示次数</t>
    </r>
  </si>
  <si>
    <t>商品名称</t>
  </si>
  <si>
    <t>接口文档</t>
  </si>
  <si>
    <t>验证通过</t>
  </si>
  <si>
    <t>gio('track', eventId, eventLevelVariables);</t>
  </si>
  <si>
    <r>
      <rPr>
        <sz val="14"/>
        <color rgb="FF000000"/>
        <rFont val="微软雅黑"/>
        <family val="2"/>
        <charset val="134"/>
      </rPr>
      <t>登录用户变量（业务配置</t>
    </r>
    <r>
      <rPr>
        <sz val="14"/>
        <color rgb="FF000000"/>
        <rFont val="Arial"/>
        <family val="2"/>
      </rPr>
      <t>+</t>
    </r>
    <r>
      <rPr>
        <sz val="14"/>
        <color rgb="FF000000"/>
        <rFont val="微软雅黑"/>
        <family val="2"/>
        <charset val="134"/>
      </rPr>
      <t>技术埋点）</t>
    </r>
  </si>
  <si>
    <t>转化变量列表</t>
  </si>
  <si>
    <r>
      <rPr>
        <sz val="14"/>
        <rFont val="微软雅黑"/>
        <family val="2"/>
        <charset val="134"/>
      </rPr>
      <t>示例代码</t>
    </r>
  </si>
  <si>
    <t>可隐藏</t>
  </si>
  <si>
    <r>
      <rPr>
        <sz val="14"/>
        <color rgb="FF000000"/>
        <rFont val="微软雅黑"/>
        <family val="2"/>
        <charset val="134"/>
      </rPr>
      <t>模块</t>
    </r>
    <r>
      <rPr>
        <sz val="14"/>
        <color rgb="FF000000"/>
        <rFont val="Arial"/>
        <family val="2"/>
      </rPr>
      <t>/</t>
    </r>
    <r>
      <rPr>
        <sz val="14"/>
        <color rgb="FF000000"/>
        <rFont val="微软雅黑"/>
        <family val="2"/>
        <charset val="134"/>
      </rPr>
      <t>场景</t>
    </r>
  </si>
  <si>
    <t>优先级</t>
  </si>
  <si>
    <r>
      <rPr>
        <sz val="14"/>
        <color rgb="FF000000"/>
        <rFont val="微软雅黑"/>
        <family val="2"/>
        <charset val="134"/>
      </rPr>
      <t>标识符</t>
    </r>
  </si>
  <si>
    <r>
      <rPr>
        <sz val="14"/>
        <color rgb="FF000000"/>
        <rFont val="微软雅黑"/>
        <family val="2"/>
        <charset val="134"/>
      </rPr>
      <t>名称</t>
    </r>
  </si>
  <si>
    <r>
      <rPr>
        <sz val="14"/>
        <color rgb="FF000000"/>
        <rFont val="微软雅黑"/>
        <family val="2"/>
        <charset val="134"/>
      </rPr>
      <t>触发时机</t>
    </r>
  </si>
  <si>
    <t>归因方式</t>
  </si>
  <si>
    <t>取值示例</t>
  </si>
  <si>
    <r>
      <t xml:space="preserve">Web JS </t>
    </r>
    <r>
      <rPr>
        <b/>
        <sz val="14"/>
        <color rgb="FF000000"/>
        <rFont val="微软雅黑"/>
        <family val="2"/>
        <charset val="134"/>
      </rPr>
      <t>示例代码</t>
    </r>
  </si>
  <si>
    <r>
      <t xml:space="preserve">iOS </t>
    </r>
    <r>
      <rPr>
        <b/>
        <sz val="14"/>
        <color rgb="FF000000"/>
        <rFont val="微软雅黑"/>
        <family val="2"/>
        <charset val="134"/>
      </rPr>
      <t>接口原型</t>
    </r>
  </si>
  <si>
    <r>
      <t xml:space="preserve">iOS </t>
    </r>
    <r>
      <rPr>
        <b/>
        <sz val="14"/>
        <color rgb="FF000000"/>
        <rFont val="微软雅黑"/>
        <family val="2"/>
        <charset val="134"/>
      </rPr>
      <t>示例代码</t>
    </r>
  </si>
  <si>
    <r>
      <t xml:space="preserve">Android </t>
    </r>
    <r>
      <rPr>
        <b/>
        <sz val="14"/>
        <color rgb="FF000000"/>
        <rFont val="微软雅黑"/>
        <family val="2"/>
        <charset val="134"/>
      </rPr>
      <t>接口原型</t>
    </r>
  </si>
  <si>
    <r>
      <t xml:space="preserve">Android </t>
    </r>
    <r>
      <rPr>
        <b/>
        <sz val="14"/>
        <color rgb="FF000000"/>
        <rFont val="微软雅黑"/>
        <family val="2"/>
        <charset val="134"/>
      </rPr>
      <t>示例代码</t>
    </r>
  </si>
  <si>
    <r>
      <rPr>
        <b/>
        <sz val="14"/>
        <color rgb="FF000000"/>
        <rFont val="微软雅黑"/>
        <family val="2"/>
        <charset val="134"/>
      </rPr>
      <t>小程序接口原型</t>
    </r>
  </si>
  <si>
    <r>
      <rPr>
        <b/>
        <sz val="14"/>
        <color rgb="FF000000"/>
        <rFont val="微软雅黑"/>
        <family val="2"/>
        <charset val="134"/>
      </rPr>
      <t>小程序示例代码</t>
    </r>
  </si>
  <si>
    <t>Android变量</t>
  </si>
  <si>
    <t>iOS变量</t>
  </si>
  <si>
    <t>高</t>
  </si>
  <si>
    <t>memberLevel_ppl</t>
  </si>
  <si>
    <r>
      <rPr>
        <sz val="14"/>
        <color rgb="FF000000"/>
        <rFont val="微软雅黑"/>
        <family val="2"/>
        <charset val="134"/>
      </rPr>
      <t>会员级别</t>
    </r>
  </si>
  <si>
    <t>用户登录时，
或此变量值发生变化时触发</t>
  </si>
  <si>
    <t>最近</t>
  </si>
  <si>
    <t>gio('people.set', key, value);</t>
  </si>
  <si>
    <t>+ (void)setPeopleVariableWithKey:(NSString *)key andStringValue:(NSString *)stringValue;</t>
  </si>
  <si>
    <t>GrowingIO gio = GrowingIO.getInstance();
gio.setPeopleVariable(String key, String value);</t>
  </si>
  <si>
    <t>+ (void)track:(NSString *)eventId withVariable:(NSDictionary&lt;NSString *, NSObject *&gt; *)variable;</t>
  </si>
  <si>
    <t>gio('setUser', properties: object)</t>
  </si>
  <si>
    <t>该变量未上传</t>
  </si>
  <si>
    <r>
      <rPr>
        <u/>
        <sz val="12"/>
        <color rgb="FF0563C1"/>
        <rFont val="微软雅黑"/>
        <family val="2"/>
        <charset val="134"/>
      </rPr>
      <t>接口文档</t>
    </r>
  </si>
  <si>
    <t>GrowingIO gio = GrowingIO.getInstance();
gio.track(String eventId, JSONObject eventLevelVariables);</t>
  </si>
  <si>
    <t>gio('track', eventName: string, properties: object)</t>
  </si>
  <si>
    <t>未验证</t>
  </si>
  <si>
    <t>无法模拟真实购买</t>
  </si>
  <si>
    <r>
      <rPr>
        <sz val="12"/>
        <color rgb="FF000000"/>
        <rFont val="微软雅黑"/>
        <family val="2"/>
        <charset val="134"/>
      </rPr>
      <t>商品名称</t>
    </r>
  </si>
  <si>
    <t>productName_var</t>
  </si>
  <si>
    <r>
      <rPr>
        <sz val="12"/>
        <color rgb="FF000000"/>
        <rFont val="微软雅黑"/>
        <family val="2"/>
        <charset val="134"/>
      </rPr>
      <t>字符串</t>
    </r>
  </si>
  <si>
    <t>二级品类</t>
  </si>
  <si>
    <r>
      <rPr>
        <sz val="12"/>
        <color rgb="FF000000"/>
        <rFont val="微软雅黑"/>
        <family val="2"/>
        <charset val="134"/>
      </rPr>
      <t>一级品类</t>
    </r>
  </si>
  <si>
    <t>firstCat_var</t>
  </si>
  <si>
    <r>
      <rPr>
        <sz val="12"/>
        <color rgb="FF000000"/>
        <rFont val="微软雅黑"/>
        <family val="2"/>
        <charset val="134"/>
      </rPr>
      <t>字符串</t>
    </r>
  </si>
  <si>
    <t>三级品类</t>
  </si>
  <si>
    <r>
      <rPr>
        <sz val="12"/>
        <color rgb="FF000000"/>
        <rFont val="微软雅黑"/>
        <family val="2"/>
        <charset val="134"/>
      </rPr>
      <t>二级品类</t>
    </r>
  </si>
  <si>
    <t>sndCat_var</t>
  </si>
  <si>
    <r>
      <rPr>
        <sz val="12"/>
        <color rgb="FF000000"/>
        <rFont val="微软雅黑"/>
        <family val="2"/>
        <charset val="134"/>
      </rPr>
      <t>字符串</t>
    </r>
  </si>
  <si>
    <r>
      <rPr>
        <sz val="12"/>
        <color rgb="FF000000"/>
        <rFont val="微软雅黑"/>
        <family val="2"/>
        <charset val="134"/>
      </rPr>
      <t>流量位名称</t>
    </r>
  </si>
  <si>
    <r>
      <rPr>
        <sz val="12"/>
        <color rgb="FF000000"/>
        <rFont val="微软雅黑"/>
        <family val="2"/>
        <charset val="134"/>
      </rPr>
      <t>三级品类</t>
    </r>
  </si>
  <si>
    <t>thirdCat_var</t>
  </si>
  <si>
    <r>
      <rPr>
        <sz val="12"/>
        <color rgb="FF000000"/>
        <rFont val="微软雅黑"/>
        <family val="2"/>
        <charset val="134"/>
      </rPr>
      <t>字符串</t>
    </r>
  </si>
  <si>
    <r>
      <rPr>
        <sz val="12"/>
        <color rgb="FF000000"/>
        <rFont val="微软雅黑"/>
        <family val="2"/>
        <charset val="134"/>
      </rPr>
      <t>楼层</t>
    </r>
  </si>
  <si>
    <r>
      <rPr>
        <sz val="12"/>
        <color rgb="FF000000"/>
        <rFont val="微软雅黑"/>
        <family val="2"/>
        <charset val="134"/>
      </rPr>
      <t>所属页面</t>
    </r>
  </si>
  <si>
    <t>productPage_var</t>
  </si>
  <si>
    <r>
      <rPr>
        <sz val="12"/>
        <color rgb="FF000000"/>
        <rFont val="微软雅黑"/>
        <family val="2"/>
        <charset val="134"/>
      </rPr>
      <t>字符串</t>
    </r>
  </si>
  <si>
    <r>
      <rPr>
        <sz val="12"/>
        <color rgb="FF000000"/>
        <rFont val="微软雅黑"/>
        <family val="2"/>
        <charset val="134"/>
      </rPr>
      <t>坑位</t>
    </r>
  </si>
  <si>
    <r>
      <rPr>
        <sz val="12"/>
        <color rgb="FF000000"/>
        <rFont val="微软雅黑"/>
        <family val="2"/>
        <charset val="134"/>
      </rPr>
      <t>楼层</t>
    </r>
  </si>
  <si>
    <t>floor_var</t>
  </si>
  <si>
    <r>
      <rPr>
        <sz val="12"/>
        <color rgb="FF000000"/>
        <rFont val="微软雅黑"/>
        <family val="2"/>
        <charset val="134"/>
      </rPr>
      <t>字符串</t>
    </r>
  </si>
  <si>
    <r>
      <rPr>
        <sz val="12"/>
        <color rgb="FF000000"/>
        <rFont val="微软雅黑"/>
        <family val="2"/>
        <charset val="134"/>
      </rPr>
      <t>商品</t>
    </r>
    <r>
      <rPr>
        <sz val="12"/>
        <color rgb="FF000000"/>
        <rFont val="Arial"/>
        <family val="2"/>
      </rPr>
      <t>ID</t>
    </r>
  </si>
  <si>
    <r>
      <rPr>
        <sz val="12"/>
        <color rgb="FF000000"/>
        <rFont val="微软雅黑"/>
        <family val="2"/>
        <charset val="134"/>
      </rPr>
      <t>坑位</t>
    </r>
  </si>
  <si>
    <t>position_var</t>
  </si>
  <si>
    <r>
      <rPr>
        <sz val="12"/>
        <color rgb="FF000000"/>
        <rFont val="微软雅黑"/>
        <family val="2"/>
        <charset val="134"/>
      </rPr>
      <t>字符串</t>
    </r>
  </si>
  <si>
    <t>一级品类</t>
  </si>
  <si>
    <r>
      <rPr>
        <sz val="12"/>
        <color rgb="FF000000"/>
        <rFont val="微软雅黑"/>
        <family val="2"/>
        <charset val="134"/>
      </rPr>
      <t>购买数量</t>
    </r>
  </si>
  <si>
    <t>quantity_var</t>
  </si>
  <si>
    <r>
      <rPr>
        <sz val="12"/>
        <color rgb="FFFF0000"/>
        <rFont val="微软雅黑"/>
        <family val="2"/>
        <charset val="134"/>
      </rPr>
      <t>整数</t>
    </r>
  </si>
  <si>
    <t>中</t>
  </si>
  <si>
    <t>否</t>
  </si>
  <si>
    <t>productClick</t>
  </si>
  <si>
    <r>
      <rPr>
        <sz val="12"/>
        <rFont val="微软雅黑"/>
        <family val="2"/>
        <charset val="134"/>
      </rPr>
      <t>商品点击</t>
    </r>
  </si>
  <si>
    <r>
      <rPr>
        <sz val="12"/>
        <rFont val="微软雅黑"/>
        <family val="2"/>
        <charset val="134"/>
      </rPr>
      <t>点击商品时触发</t>
    </r>
  </si>
  <si>
    <r>
      <rPr>
        <sz val="12"/>
        <rFont val="微软雅黑"/>
        <family val="2"/>
        <charset val="134"/>
      </rPr>
      <t>计数器</t>
    </r>
  </si>
  <si>
    <t>衡量商品点击次数</t>
  </si>
  <si>
    <r>
      <rPr>
        <sz val="12"/>
        <color rgb="FF000000"/>
        <rFont val="微软雅黑"/>
        <family val="2"/>
        <charset val="134"/>
      </rPr>
      <t>一级品类</t>
    </r>
  </si>
  <si>
    <r>
      <rPr>
        <sz val="12"/>
        <color rgb="FF000000"/>
        <rFont val="微软雅黑"/>
        <family val="2"/>
        <charset val="134"/>
      </rPr>
      <t>订单</t>
    </r>
    <r>
      <rPr>
        <sz val="12"/>
        <color rgb="FF000000"/>
        <rFont val="Arial"/>
        <family val="2"/>
      </rPr>
      <t>ID</t>
    </r>
  </si>
  <si>
    <t>orderId_var</t>
  </si>
  <si>
    <r>
      <rPr>
        <sz val="12"/>
        <color rgb="FF000000"/>
        <rFont val="微软雅黑"/>
        <family val="2"/>
        <charset val="134"/>
      </rPr>
      <t>字符串</t>
    </r>
  </si>
  <si>
    <r>
      <rPr>
        <sz val="12"/>
        <color rgb="FF000000"/>
        <rFont val="微软雅黑"/>
        <family val="2"/>
        <charset val="134"/>
      </rPr>
      <t>二级品类</t>
    </r>
  </si>
  <si>
    <r>
      <rPr>
        <sz val="12"/>
        <color rgb="FF000000"/>
        <rFont val="微软雅黑"/>
        <family val="2"/>
        <charset val="134"/>
      </rPr>
      <t>实际支付金额</t>
    </r>
  </si>
  <si>
    <t>payAmount_var</t>
  </si>
  <si>
    <r>
      <rPr>
        <sz val="12"/>
        <color rgb="FFFF0000"/>
        <rFont val="微软雅黑"/>
        <family val="2"/>
        <charset val="134"/>
      </rPr>
      <t>小数</t>
    </r>
  </si>
  <si>
    <r>
      <rPr>
        <sz val="12"/>
        <color rgb="FF000000"/>
        <rFont val="微软雅黑"/>
        <family val="2"/>
        <charset val="134"/>
      </rPr>
      <t>三级品类</t>
    </r>
  </si>
  <si>
    <r>
      <rPr>
        <sz val="12"/>
        <color rgb="FF000000"/>
        <rFont val="微软雅黑"/>
        <family val="2"/>
        <charset val="134"/>
      </rPr>
      <t>是否使用优惠券</t>
    </r>
  </si>
  <si>
    <t>ifCouponUsed_var</t>
  </si>
  <si>
    <r>
      <rPr>
        <sz val="12"/>
        <color rgb="FF000000"/>
        <rFont val="微软雅黑"/>
        <family val="2"/>
        <charset val="134"/>
      </rPr>
      <t>字符串</t>
    </r>
  </si>
  <si>
    <r>
      <rPr>
        <sz val="12"/>
        <color rgb="FF000000"/>
        <rFont val="微软雅黑"/>
        <family val="2"/>
        <charset val="134"/>
      </rPr>
      <t>商品</t>
    </r>
    <r>
      <rPr>
        <sz val="12"/>
        <color rgb="FF000000"/>
        <rFont val="Arial"/>
        <family val="2"/>
      </rPr>
      <t>ID</t>
    </r>
  </si>
  <si>
    <r>
      <rPr>
        <sz val="12"/>
        <color rgb="FF000000"/>
        <rFont val="微软雅黑"/>
        <family val="2"/>
        <charset val="134"/>
      </rPr>
      <t>优惠券类型</t>
    </r>
  </si>
  <si>
    <t>couponType_var</t>
  </si>
  <si>
    <r>
      <rPr>
        <sz val="12"/>
        <color rgb="FF000000"/>
        <rFont val="微软雅黑"/>
        <family val="2"/>
        <charset val="134"/>
      </rPr>
      <t>字符串</t>
    </r>
  </si>
  <si>
    <r>
      <rPr>
        <sz val="12"/>
        <color rgb="FF000000"/>
        <rFont val="微软雅黑"/>
        <family val="2"/>
        <charset val="134"/>
      </rPr>
      <t>优惠券名称</t>
    </r>
  </si>
  <si>
    <t>couponName_var</t>
  </si>
  <si>
    <r>
      <rPr>
        <sz val="12"/>
        <color rgb="FF000000"/>
        <rFont val="微软雅黑"/>
        <family val="2"/>
        <charset val="134"/>
      </rPr>
      <t>字符串</t>
    </r>
  </si>
  <si>
    <r>
      <rPr>
        <sz val="12"/>
        <color rgb="FFF4F4F4"/>
        <rFont val="微软雅黑"/>
        <family val="2"/>
        <charset val="134"/>
      </rPr>
      <t>高</t>
    </r>
  </si>
  <si>
    <r>
      <rPr>
        <b/>
        <sz val="12"/>
        <color rgb="FF000000"/>
        <rFont val="微软雅黑"/>
        <family val="2"/>
        <charset val="134"/>
      </rPr>
      <t>是</t>
    </r>
  </si>
  <si>
    <t>productDetailPageView</t>
  </si>
  <si>
    <r>
      <rPr>
        <sz val="12"/>
        <color rgb="FF000000"/>
        <rFont val="微软雅黑"/>
        <family val="2"/>
        <charset val="134"/>
      </rPr>
      <t>浏览商品详情页</t>
    </r>
  </si>
  <si>
    <r>
      <rPr>
        <sz val="12"/>
        <color rgb="FF000000"/>
        <rFont val="微软雅黑"/>
        <family val="2"/>
        <charset val="134"/>
      </rPr>
      <t>打开商品详情页时触发</t>
    </r>
  </si>
  <si>
    <r>
      <rPr>
        <sz val="12"/>
        <color rgb="FF000000"/>
        <rFont val="微软雅黑"/>
        <family val="2"/>
        <charset val="134"/>
      </rPr>
      <t>计数器</t>
    </r>
  </si>
  <si>
    <r>
      <rPr>
        <sz val="12"/>
        <color rgb="FF000000"/>
        <rFont val="微软雅黑"/>
        <family val="2"/>
        <charset val="134"/>
      </rPr>
      <t>衡量商品详情页打开次数</t>
    </r>
  </si>
  <si>
    <t>商品ID</t>
  </si>
  <si>
    <r>
      <rPr>
        <sz val="12"/>
        <color rgb="FF000000"/>
        <rFont val="微软雅黑"/>
        <family val="2"/>
        <charset val="134"/>
      </rPr>
      <t>搜索词</t>
    </r>
  </si>
  <si>
    <t>searchWord_var</t>
  </si>
  <si>
    <r>
      <rPr>
        <sz val="12"/>
        <color rgb="FF000000"/>
        <rFont val="微软雅黑"/>
        <family val="2"/>
        <charset val="134"/>
      </rPr>
      <t>字符串</t>
    </r>
  </si>
  <si>
    <r>
      <rPr>
        <sz val="12"/>
        <color rgb="FF000000"/>
        <rFont val="微软雅黑"/>
        <family val="2"/>
        <charset val="134"/>
      </rPr>
      <t>是否有搜索结果</t>
    </r>
  </si>
  <si>
    <t>ifSearchResult_var</t>
  </si>
  <si>
    <r>
      <rPr>
        <sz val="12"/>
        <color rgb="FF000000"/>
        <rFont val="微软雅黑"/>
        <family val="2"/>
        <charset val="134"/>
      </rPr>
      <t>字符串</t>
    </r>
  </si>
  <si>
    <r>
      <rPr>
        <sz val="12"/>
        <color rgb="FF000000"/>
        <rFont val="微软雅黑"/>
        <family val="2"/>
        <charset val="134"/>
      </rPr>
      <t>搜索来源</t>
    </r>
  </si>
  <si>
    <t>searchSource_var</t>
  </si>
  <si>
    <r>
      <rPr>
        <sz val="12"/>
        <color rgb="FF000000"/>
        <rFont val="微软雅黑"/>
        <family val="2"/>
        <charset val="134"/>
      </rPr>
      <t>字符串</t>
    </r>
  </si>
  <si>
    <r>
      <rPr>
        <sz val="12"/>
        <color rgb="FF000000"/>
        <rFont val="微软雅黑"/>
        <family val="2"/>
        <charset val="134"/>
      </rPr>
      <t>流量位名称</t>
    </r>
  </si>
  <si>
    <t>flowName_var</t>
  </si>
  <si>
    <r>
      <rPr>
        <sz val="12"/>
        <color rgb="FF000000"/>
        <rFont val="微软雅黑"/>
        <family val="2"/>
        <charset val="134"/>
      </rPr>
      <t>字符串</t>
    </r>
  </si>
  <si>
    <r>
      <rPr>
        <sz val="12"/>
        <color rgb="FF000000"/>
        <rFont val="微软雅黑"/>
        <family val="2"/>
        <charset val="134"/>
      </rPr>
      <t>帖子</t>
    </r>
    <r>
      <rPr>
        <sz val="12"/>
        <color rgb="FF000000"/>
        <rFont val="Arial"/>
        <family val="2"/>
      </rPr>
      <t>id</t>
    </r>
  </si>
  <si>
    <t>postId_var</t>
  </si>
  <si>
    <r>
      <rPr>
        <sz val="12"/>
        <color rgb="FF000000"/>
        <rFont val="微软雅黑"/>
        <family val="2"/>
        <charset val="134"/>
      </rPr>
      <t>字符串</t>
    </r>
  </si>
  <si>
    <r>
      <rPr>
        <sz val="12"/>
        <color rgb="FFF4F4F4"/>
        <rFont val="微软雅黑"/>
        <family val="2"/>
        <charset val="134"/>
      </rPr>
      <t>高</t>
    </r>
  </si>
  <si>
    <r>
      <rPr>
        <b/>
        <sz val="12"/>
        <color rgb="FF000000"/>
        <rFont val="微软雅黑"/>
        <family val="2"/>
        <charset val="134"/>
      </rPr>
      <t>是</t>
    </r>
  </si>
  <si>
    <t>addToCart</t>
  </si>
  <si>
    <r>
      <rPr>
        <sz val="12"/>
        <color rgb="FF000000"/>
        <rFont val="微软雅黑"/>
        <family val="2"/>
        <charset val="134"/>
      </rPr>
      <t>加入购物车</t>
    </r>
  </si>
  <si>
    <t>加入购物车成功时触发；
入口包括：商品详情页、商品列表页</t>
  </si>
  <si>
    <r>
      <rPr>
        <sz val="12"/>
        <color rgb="FF000000"/>
        <rFont val="微软雅黑"/>
        <family val="2"/>
        <charset val="134"/>
      </rPr>
      <t>计数器</t>
    </r>
  </si>
  <si>
    <r>
      <rPr>
        <sz val="12"/>
        <color rgb="FF000000"/>
        <rFont val="微软雅黑"/>
        <family val="2"/>
        <charset val="134"/>
      </rPr>
      <t>衡量加入购物车成功次数</t>
    </r>
  </si>
  <si>
    <r>
      <rPr>
        <sz val="12"/>
        <color rgb="FFF4F4F4"/>
        <rFont val="微软雅黑"/>
        <family val="2"/>
        <charset val="134"/>
      </rPr>
      <t>高</t>
    </r>
  </si>
  <si>
    <r>
      <rPr>
        <b/>
        <sz val="12"/>
        <color rgb="FF000000"/>
        <rFont val="微软雅黑"/>
        <family val="2"/>
        <charset val="134"/>
      </rPr>
      <t>否</t>
    </r>
  </si>
  <si>
    <t>createOrder</t>
  </si>
  <si>
    <r>
      <rPr>
        <sz val="12"/>
        <color rgb="FF000000"/>
        <rFont val="微软雅黑"/>
        <family val="2"/>
        <charset val="134"/>
      </rPr>
      <t>生成订单</t>
    </r>
  </si>
  <si>
    <r>
      <rPr>
        <sz val="12"/>
        <color rgb="FF000000"/>
        <rFont val="微软雅黑"/>
        <family val="2"/>
        <charset val="134"/>
      </rPr>
      <t>生成订单时触发</t>
    </r>
  </si>
  <si>
    <r>
      <rPr>
        <sz val="12"/>
        <color rgb="FF000000"/>
        <rFont val="微软雅黑"/>
        <family val="2"/>
        <charset val="134"/>
      </rPr>
      <t>计数器</t>
    </r>
  </si>
  <si>
    <r>
      <rPr>
        <sz val="12"/>
        <color rgb="FF000000"/>
        <rFont val="微软雅黑"/>
        <family val="2"/>
        <charset val="134"/>
      </rPr>
      <t>衡量订单生成次数</t>
    </r>
  </si>
  <si>
    <t>订单ID</t>
  </si>
  <si>
    <t>createOrderProduct</t>
  </si>
  <si>
    <r>
      <rPr>
        <sz val="12"/>
        <color rgb="FF000000"/>
        <rFont val="微软雅黑"/>
        <family val="2"/>
        <charset val="134"/>
      </rPr>
      <t>生成商品订单</t>
    </r>
  </si>
  <si>
    <r>
      <rPr>
        <sz val="12"/>
        <color rgb="FF000000"/>
        <rFont val="微软雅黑"/>
        <family val="2"/>
        <charset val="134"/>
      </rPr>
      <t>生成订单时触发。
如果一个订单中有多种商品，每种商品触发一次该事件。</t>
    </r>
  </si>
  <si>
    <r>
      <rPr>
        <sz val="12"/>
        <color rgb="FF000000"/>
        <rFont val="微软雅黑"/>
        <family val="2"/>
        <charset val="134"/>
      </rPr>
      <t>计数器</t>
    </r>
  </si>
  <si>
    <r>
      <rPr>
        <sz val="12"/>
        <color rgb="FF000000"/>
        <rFont val="微软雅黑"/>
        <family val="2"/>
        <charset val="134"/>
      </rPr>
      <t>衡量订单生成次数，从商品维度拆解</t>
    </r>
  </si>
  <si>
    <t>payOrderSuccess</t>
  </si>
  <si>
    <r>
      <rPr>
        <sz val="12"/>
        <color rgb="FF000000"/>
        <rFont val="微软雅黑"/>
        <family val="2"/>
        <charset val="134"/>
      </rPr>
      <t>订单支付成功</t>
    </r>
  </si>
  <si>
    <r>
      <rPr>
        <sz val="12"/>
        <color rgb="FF000000"/>
        <rFont val="微软雅黑"/>
        <family val="2"/>
        <charset val="134"/>
      </rPr>
      <t>订单支付成功时触发</t>
    </r>
  </si>
  <si>
    <r>
      <rPr>
        <sz val="12"/>
        <color rgb="FF000000"/>
        <rFont val="微软雅黑"/>
        <family val="2"/>
        <charset val="134"/>
      </rPr>
      <t>计数器</t>
    </r>
  </si>
  <si>
    <r>
      <rPr>
        <sz val="12"/>
        <color rgb="FF000000"/>
        <rFont val="微软雅黑"/>
        <family val="2"/>
        <charset val="134"/>
      </rPr>
      <t>衡量订单支付成功次数</t>
    </r>
  </si>
  <si>
    <t>payProductSuccess</t>
  </si>
  <si>
    <r>
      <rPr>
        <sz val="12"/>
        <color rgb="FF000000"/>
        <rFont val="微软雅黑"/>
        <family val="2"/>
        <charset val="134"/>
      </rPr>
      <t>商品支付成功</t>
    </r>
  </si>
  <si>
    <r>
      <rPr>
        <sz val="12"/>
        <color rgb="FF000000"/>
        <rFont val="微软雅黑"/>
        <family val="2"/>
        <charset val="134"/>
      </rPr>
      <t>商品支付成功时触发。
如果一个订单中有多种商品，每种商品触发一次该事件。</t>
    </r>
  </si>
  <si>
    <r>
      <rPr>
        <sz val="12"/>
        <color rgb="FF000000"/>
        <rFont val="微软雅黑"/>
        <family val="2"/>
        <charset val="134"/>
      </rPr>
      <t>计数器</t>
    </r>
  </si>
  <si>
    <r>
      <rPr>
        <sz val="12"/>
        <color rgb="FF000000"/>
        <rFont val="微软雅黑"/>
        <family val="2"/>
        <charset val="134"/>
      </rPr>
      <t>衡量订单支付成功次数，从商品维度拆解</t>
    </r>
  </si>
  <si>
    <r>
      <rPr>
        <sz val="16"/>
        <color rgb="FF000000"/>
        <rFont val="微软雅黑"/>
        <family val="2"/>
        <charset val="134"/>
      </rPr>
      <t>转化变量汇总（业务配置</t>
    </r>
    <r>
      <rPr>
        <sz val="16"/>
        <color rgb="FF000000"/>
        <rFont val="Arial"/>
        <family val="2"/>
      </rPr>
      <t>+</t>
    </r>
    <r>
      <rPr>
        <sz val="16"/>
        <color rgb="FF000000"/>
        <rFont val="微软雅黑"/>
        <family val="2"/>
        <charset val="134"/>
      </rPr>
      <t>技术埋点）</t>
    </r>
  </si>
  <si>
    <r>
      <rPr>
        <b/>
        <sz val="14"/>
        <color rgb="FF000000"/>
        <rFont val="微软雅黑"/>
        <family val="2"/>
        <charset val="134"/>
      </rPr>
      <t>使用说明</t>
    </r>
  </si>
  <si>
    <t>2. 点击左侧【转化变量】导航；</t>
  </si>
  <si>
    <t>3. 根据下表，进行转化变量的配置；</t>
  </si>
  <si>
    <r>
      <rPr>
        <sz val="12"/>
        <color rgb="FF000000"/>
        <rFont val="微软雅黑"/>
        <family val="2"/>
        <charset val="134"/>
      </rPr>
      <t>请根据下表，完成代码实施。</t>
    </r>
  </si>
  <si>
    <r>
      <rPr>
        <sz val="14"/>
        <rFont val="微软雅黑"/>
        <family val="2"/>
        <charset val="134"/>
      </rPr>
      <t>示例代码</t>
    </r>
  </si>
  <si>
    <r>
      <rPr>
        <sz val="14"/>
        <color rgb="FF000000"/>
        <rFont val="微软雅黑"/>
        <family val="2"/>
        <charset val="134"/>
      </rPr>
      <t>模块</t>
    </r>
    <r>
      <rPr>
        <sz val="14"/>
        <color rgb="FF000000"/>
        <rFont val="Arial"/>
        <family val="2"/>
      </rPr>
      <t>/</t>
    </r>
    <r>
      <rPr>
        <sz val="14"/>
        <color rgb="FF000000"/>
        <rFont val="微软雅黑"/>
        <family val="2"/>
        <charset val="134"/>
      </rPr>
      <t>场景</t>
    </r>
  </si>
  <si>
    <r>
      <rPr>
        <sz val="14"/>
        <color rgb="FF000000"/>
        <rFont val="微软雅黑"/>
        <family val="2"/>
        <charset val="134"/>
      </rPr>
      <t>是否
埋点？</t>
    </r>
  </si>
  <si>
    <r>
      <rPr>
        <sz val="14"/>
        <color rgb="FF000000"/>
        <rFont val="微软雅黑"/>
        <family val="2"/>
        <charset val="134"/>
      </rPr>
      <t>标识符</t>
    </r>
  </si>
  <si>
    <r>
      <rPr>
        <sz val="14"/>
        <color rgb="FF000000"/>
        <rFont val="微软雅黑"/>
        <family val="2"/>
        <charset val="134"/>
      </rPr>
      <t>名称</t>
    </r>
  </si>
  <si>
    <r>
      <rPr>
        <sz val="14"/>
        <color rgb="FF000000"/>
        <rFont val="微软雅黑"/>
        <family val="2"/>
        <charset val="134"/>
      </rPr>
      <t>触发时机</t>
    </r>
  </si>
  <si>
    <r>
      <rPr>
        <sz val="14"/>
        <color rgb="FF000000"/>
        <rFont val="微软雅黑"/>
        <family val="2"/>
        <charset val="134"/>
      </rPr>
      <t>失效时间</t>
    </r>
  </si>
  <si>
    <r>
      <rPr>
        <sz val="14"/>
        <color rgb="FF000000"/>
        <rFont val="微软雅黑"/>
        <family val="2"/>
        <charset val="134"/>
      </rPr>
      <t>描述</t>
    </r>
  </si>
  <si>
    <r>
      <rPr>
        <sz val="14"/>
        <color rgb="FF000000"/>
        <rFont val="微软雅黑"/>
        <family val="2"/>
        <charset val="134"/>
      </rPr>
      <t>取值示例</t>
    </r>
  </si>
  <si>
    <t xml:space="preserve"> Web JS 示例代码</t>
  </si>
  <si>
    <t>iOS 接口原型</t>
  </si>
  <si>
    <r>
      <t xml:space="preserve">iOS </t>
    </r>
    <r>
      <rPr>
        <b/>
        <sz val="14"/>
        <color rgb="FF000000"/>
        <rFont val="微软雅黑"/>
        <family val="2"/>
        <charset val="134"/>
      </rPr>
      <t>示例代码</t>
    </r>
  </si>
  <si>
    <r>
      <t xml:space="preserve">Android </t>
    </r>
    <r>
      <rPr>
        <b/>
        <sz val="14"/>
        <color rgb="FF000000"/>
        <rFont val="微软雅黑"/>
        <family val="2"/>
        <charset val="134"/>
      </rPr>
      <t>接口原型</t>
    </r>
  </si>
  <si>
    <r>
      <t xml:space="preserve">Android </t>
    </r>
    <r>
      <rPr>
        <b/>
        <sz val="14"/>
        <color rgb="FF000000"/>
        <rFont val="微软雅黑"/>
        <family val="2"/>
        <charset val="134"/>
      </rPr>
      <t>示例代码</t>
    </r>
  </si>
  <si>
    <r>
      <rPr>
        <b/>
        <sz val="14"/>
        <color rgb="FF000000"/>
        <rFont val="微软雅黑"/>
        <family val="2"/>
        <charset val="134"/>
      </rPr>
      <t>小程序接口原型</t>
    </r>
  </si>
  <si>
    <r>
      <rPr>
        <b/>
        <sz val="14"/>
        <color rgb="FF000000"/>
        <rFont val="微软雅黑"/>
        <family val="2"/>
        <charset val="134"/>
      </rPr>
      <t>小程序示例代码</t>
    </r>
  </si>
  <si>
    <r>
      <rPr>
        <sz val="12"/>
        <color rgb="FF000000"/>
        <rFont val="微软雅黑"/>
        <family val="2"/>
        <charset val="134"/>
      </rPr>
      <t>不同购买入口的转化归因</t>
    </r>
  </si>
  <si>
    <t>sourceRecent_evar</t>
  </si>
  <si>
    <r>
      <rPr>
        <sz val="12"/>
        <color rgb="FF191140"/>
        <rFont val="微软雅黑"/>
        <family val="2"/>
        <charset val="134"/>
      </rPr>
      <t>一级购买入口</t>
    </r>
  </si>
  <si>
    <r>
      <rPr>
        <sz val="12"/>
        <color rgb="FF000000"/>
        <rFont val="微软雅黑"/>
        <family val="2"/>
        <charset val="134"/>
      </rPr>
      <t>进入对应的入口时触发</t>
    </r>
  </si>
  <si>
    <r>
      <rPr>
        <sz val="12"/>
        <color rgb="FF000000"/>
        <rFont val="微软雅黑"/>
        <family val="2"/>
        <charset val="134"/>
      </rPr>
      <t>最近</t>
    </r>
  </si>
  <si>
    <r>
      <rPr>
        <sz val="12"/>
        <color rgb="FF000000"/>
        <rFont val="微软雅黑"/>
        <family val="2"/>
        <charset val="134"/>
      </rPr>
      <t>一天</t>
    </r>
  </si>
  <si>
    <r>
      <t xml:space="preserve"> </t>
    </r>
    <r>
      <rPr>
        <sz val="12"/>
        <color rgb="FF000000"/>
        <rFont val="微软雅黑"/>
        <family val="2"/>
        <charset val="134"/>
      </rPr>
      <t>评估不同购买入口对后续行为（如成单）的贡献值归因。</t>
    </r>
    <r>
      <rPr>
        <sz val="12"/>
        <color rgb="FF000000"/>
        <rFont val="Arial"/>
        <family val="2"/>
      </rPr>
      <t xml:space="preserve"> 
</t>
    </r>
  </si>
  <si>
    <t>推送
搜索
类目
推荐位
社区内容
活动</t>
  </si>
  <si>
    <t>gio('evar.set', key, value);</t>
  </si>
  <si>
    <t>+ (void)setEvarWithKey:(NSString *)key andStringValue:(NSString *)stringValue;
+ (void)setEvar:(NSDictionary&lt;NSString *, NSObject *&gt; *)variable;</t>
  </si>
  <si>
    <t>GrowingIO gio = GrowingIO.getInstance();
gio.setEvar(String key, String value);
gio.setEvar(String key, Number value);
gio.setEvar(String key, Boolean value);
gio.setEvar(JSONObject conversionVariables);</t>
  </si>
  <si>
    <t>gio('setEvar',properties: object);</t>
  </si>
  <si>
    <r>
      <rPr>
        <sz val="12"/>
        <color rgb="FF000000"/>
        <rFont val="微软雅黑"/>
        <family val="2"/>
        <charset val="134"/>
      </rPr>
      <t>不同搜索词的业务贡献</t>
    </r>
  </si>
  <si>
    <t>searchWord_evar</t>
  </si>
  <si>
    <r>
      <rPr>
        <sz val="12"/>
        <color rgb="FF000000"/>
        <rFont val="微软雅黑"/>
        <family val="2"/>
        <charset val="134"/>
      </rPr>
      <t>搜索词</t>
    </r>
  </si>
  <si>
    <r>
      <rPr>
        <sz val="12"/>
        <color rgb="FF000000"/>
        <rFont val="微软雅黑"/>
        <family val="2"/>
        <charset val="134"/>
      </rPr>
      <t>搜索成功时触发</t>
    </r>
  </si>
  <si>
    <r>
      <rPr>
        <sz val="12"/>
        <color rgb="FF000000"/>
        <rFont val="微软雅黑"/>
        <family val="2"/>
        <charset val="134"/>
      </rPr>
      <t>最近</t>
    </r>
  </si>
  <si>
    <r>
      <rPr>
        <sz val="12"/>
        <color rgb="FF000000"/>
        <rFont val="微软雅黑"/>
        <family val="2"/>
        <charset val="134"/>
      </rPr>
      <t>一天</t>
    </r>
  </si>
  <si>
    <r>
      <t xml:space="preserve"> </t>
    </r>
    <r>
      <rPr>
        <sz val="12"/>
        <color rgb="FF000000"/>
        <rFont val="微软雅黑"/>
        <family val="2"/>
        <charset val="134"/>
      </rPr>
      <t>评估不同搜索词对后续行为（如成单）的贡献值归因。</t>
    </r>
    <r>
      <rPr>
        <sz val="12"/>
        <color rgb="FF000000"/>
        <rFont val="Arial"/>
        <family val="2"/>
      </rPr>
      <t xml:space="preserve"> 
</t>
    </r>
  </si>
  <si>
    <r>
      <rPr>
        <sz val="16"/>
        <color rgb="FF000000"/>
        <rFont val="微软雅黑"/>
        <family val="2"/>
        <charset val="134"/>
      </rPr>
      <t>页面级变量汇总（业务配置</t>
    </r>
    <r>
      <rPr>
        <sz val="16"/>
        <color rgb="FF000000"/>
        <rFont val="Arial"/>
        <family val="2"/>
      </rPr>
      <t>+</t>
    </r>
    <r>
      <rPr>
        <sz val="16"/>
        <color rgb="FF000000"/>
        <rFont val="微软雅黑"/>
        <family val="2"/>
        <charset val="134"/>
      </rPr>
      <t>技术埋点）</t>
    </r>
  </si>
  <si>
    <r>
      <rPr>
        <b/>
        <sz val="14"/>
        <color rgb="FF000000"/>
        <rFont val="微软雅黑"/>
        <family val="2"/>
        <charset val="134"/>
      </rPr>
      <t>使用说明</t>
    </r>
  </si>
  <si>
    <t>2. 点击左侧【事件变量】导航；</t>
  </si>
  <si>
    <t>3. 根据下表，在【页面级变量】页签中进行页面级变量的配置；</t>
  </si>
  <si>
    <r>
      <rPr>
        <sz val="12"/>
        <color rgb="FF000000"/>
        <rFont val="微软雅黑"/>
        <family val="2"/>
        <charset val="134"/>
      </rPr>
      <t>请根据下表，完成代码实施。</t>
    </r>
  </si>
  <si>
    <r>
      <rPr>
        <sz val="14"/>
        <color rgb="FF000000"/>
        <rFont val="微软雅黑"/>
        <family val="2"/>
        <charset val="134"/>
      </rPr>
      <t>页面级变量列表</t>
    </r>
  </si>
  <si>
    <r>
      <rPr>
        <sz val="14"/>
        <rFont val="微软雅黑"/>
        <family val="2"/>
        <charset val="134"/>
      </rPr>
      <t>示例代码</t>
    </r>
  </si>
  <si>
    <r>
      <rPr>
        <sz val="14"/>
        <color rgb="FF000000"/>
        <rFont val="微软雅黑"/>
        <family val="2"/>
        <charset val="134"/>
      </rPr>
      <t>模块</t>
    </r>
    <r>
      <rPr>
        <sz val="14"/>
        <color rgb="FF000000"/>
        <rFont val="Arial"/>
        <family val="2"/>
      </rPr>
      <t>/</t>
    </r>
    <r>
      <rPr>
        <sz val="14"/>
        <color rgb="FF000000"/>
        <rFont val="微软雅黑"/>
        <family val="2"/>
        <charset val="134"/>
      </rPr>
      <t>场景</t>
    </r>
  </si>
  <si>
    <r>
      <rPr>
        <sz val="14"/>
        <color rgb="FF000000"/>
        <rFont val="微软雅黑"/>
        <family val="2"/>
        <charset val="134"/>
      </rPr>
      <t>是否
埋点？</t>
    </r>
  </si>
  <si>
    <r>
      <rPr>
        <sz val="14"/>
        <color rgb="FF000000"/>
        <rFont val="微软雅黑"/>
        <family val="2"/>
        <charset val="134"/>
      </rPr>
      <t>是否
验证？</t>
    </r>
  </si>
  <si>
    <r>
      <rPr>
        <sz val="14"/>
        <color rgb="FF000000"/>
        <rFont val="微软雅黑"/>
        <family val="2"/>
        <charset val="134"/>
      </rPr>
      <t>标识符</t>
    </r>
  </si>
  <si>
    <r>
      <rPr>
        <sz val="14"/>
        <color rgb="FF000000"/>
        <rFont val="微软雅黑"/>
        <family val="2"/>
        <charset val="134"/>
      </rPr>
      <t>名称</t>
    </r>
  </si>
  <si>
    <r>
      <rPr>
        <sz val="14"/>
        <color rgb="FF000000"/>
        <rFont val="微软雅黑"/>
        <family val="2"/>
        <charset val="134"/>
      </rPr>
      <t>设置的页面</t>
    </r>
    <r>
      <rPr>
        <sz val="14"/>
        <color rgb="FF000000"/>
        <rFont val="Arial"/>
        <family val="2"/>
      </rPr>
      <t>URL</t>
    </r>
  </si>
  <si>
    <r>
      <rPr>
        <sz val="14"/>
        <color rgb="FF000000"/>
        <rFont val="微软雅黑"/>
        <family val="2"/>
        <charset val="134"/>
      </rPr>
      <t>触发时机</t>
    </r>
  </si>
  <si>
    <t>描述/备注</t>
  </si>
  <si>
    <r>
      <rPr>
        <sz val="14"/>
        <color rgb="FF000000"/>
        <rFont val="微软雅黑"/>
        <family val="2"/>
        <charset val="134"/>
      </rPr>
      <t>取值示例</t>
    </r>
  </si>
  <si>
    <r>
      <t xml:space="preserve">iOS </t>
    </r>
    <r>
      <rPr>
        <b/>
        <sz val="14"/>
        <color rgb="FF000000"/>
        <rFont val="微软雅黑"/>
        <family val="2"/>
        <charset val="134"/>
      </rPr>
      <t>示例代码</t>
    </r>
  </si>
  <si>
    <r>
      <t xml:space="preserve">Android </t>
    </r>
    <r>
      <rPr>
        <b/>
        <sz val="14"/>
        <color rgb="FF000000"/>
        <rFont val="微软雅黑"/>
        <family val="2"/>
        <charset val="134"/>
      </rPr>
      <t>接口原型</t>
    </r>
  </si>
  <si>
    <r>
      <t xml:space="preserve">Android </t>
    </r>
    <r>
      <rPr>
        <b/>
        <sz val="14"/>
        <color rgb="FF000000"/>
        <rFont val="微软雅黑"/>
        <family val="2"/>
        <charset val="134"/>
      </rPr>
      <t>示例代码</t>
    </r>
  </si>
  <si>
    <r>
      <rPr>
        <b/>
        <sz val="14"/>
        <color rgb="FF000000"/>
        <rFont val="微软雅黑"/>
        <family val="2"/>
        <charset val="134"/>
      </rPr>
      <t>小程序接口原型</t>
    </r>
  </si>
  <si>
    <r>
      <rPr>
        <b/>
        <sz val="14"/>
        <color rgb="FF000000"/>
        <rFont val="微软雅黑"/>
        <family val="2"/>
        <charset val="134"/>
      </rPr>
      <t>小程序示例代码</t>
    </r>
  </si>
  <si>
    <r>
      <rPr>
        <sz val="12"/>
        <color rgb="FF000000"/>
        <rFont val="微软雅黑"/>
        <family val="2"/>
        <charset val="134"/>
      </rPr>
      <t>实施客户活跃度衡量</t>
    </r>
  </si>
  <si>
    <t>analystScene_pvar</t>
  </si>
  <si>
    <r>
      <rPr>
        <sz val="12"/>
        <color rgb="FF000000"/>
        <rFont val="微软雅黑"/>
        <family val="2"/>
        <charset val="134"/>
      </rPr>
      <t>分析场景</t>
    </r>
  </si>
  <si>
    <r>
      <rPr>
        <b/>
        <sz val="12"/>
        <color rgb="FF000000"/>
        <rFont val="Arial"/>
        <family val="2"/>
      </rPr>
      <t>Web:</t>
    </r>
    <r>
      <rPr>
        <sz val="12"/>
        <color rgb="FF000000"/>
        <rFont val="Arial"/>
        <family val="2"/>
      </rPr>
      <t xml:space="preserve">
/projects/*/eventAnalysis/new
</t>
    </r>
    <r>
      <rPr>
        <b/>
        <sz val="12"/>
        <color rgb="FF000000"/>
        <rFont val="Arial"/>
        <family val="2"/>
      </rPr>
      <t>Android:</t>
    </r>
    <r>
      <rPr>
        <sz val="12"/>
        <color rgb="FF000000"/>
        <rFont val="Arial"/>
        <family val="2"/>
      </rPr>
      <t xml:space="preserve">
XXXActivity
</t>
    </r>
    <r>
      <rPr>
        <b/>
        <sz val="12"/>
        <color rgb="FF000000"/>
        <rFont val="Arial"/>
        <family val="2"/>
      </rPr>
      <t>iOS:</t>
    </r>
    <r>
      <rPr>
        <sz val="12"/>
        <color rgb="FF000000"/>
        <rFont val="Arial"/>
        <family val="2"/>
      </rPr>
      <t xml:space="preserve">
XXXViewController</t>
    </r>
  </si>
  <si>
    <t>页面加载时触发</t>
  </si>
  <si>
    <t>事件使用的分析场景</t>
  </si>
  <si>
    <t>事件分析
漏斗
留存
分群
看板</t>
  </si>
  <si>
    <t>gio('page.set', key, value);</t>
  </si>
  <si>
    <r>
      <rPr>
        <sz val="12"/>
        <color rgb="FF000000"/>
        <rFont val="Arial"/>
        <family val="2"/>
      </rPr>
      <t>+ (void)setPageVariableWithKey:(NSString *)key andStringValue:(NSString *)stringValue toViewController:(UIViewController *)viewController;
+ (void)setPageVariable:(NSDictionary&lt;NSString *, NSObject *&gt; *)variable toViewController:(UIViewController *)viewController;</t>
    </r>
  </si>
  <si>
    <r>
      <t>//</t>
    </r>
    <r>
      <rPr>
        <sz val="12"/>
        <color rgb="FF000000"/>
        <rFont val="Arial"/>
        <family val="2"/>
      </rPr>
      <t>设置在</t>
    </r>
    <r>
      <rPr>
        <sz val="12"/>
        <color rgb="FF000000"/>
        <rFont val="Arial"/>
        <family val="2"/>
      </rPr>
      <t>activity</t>
    </r>
    <r>
      <rPr>
        <sz val="12"/>
        <color rgb="FF000000"/>
        <rFont val="Arial"/>
        <family val="2"/>
      </rPr>
      <t>或者</t>
    </r>
    <r>
      <rPr>
        <sz val="12"/>
        <color rgb="FF000000"/>
        <rFont val="Arial"/>
        <family val="2"/>
      </rPr>
      <t>fragment</t>
    </r>
    <r>
      <rPr>
        <sz val="12"/>
        <color rgb="FF000000"/>
        <rFont val="Arial"/>
        <family val="2"/>
      </rPr>
      <t xml:space="preserve">上
</t>
    </r>
    <r>
      <rPr>
        <sz val="12"/>
        <color rgb="FF000000"/>
        <rFont val="Arial"/>
        <family val="2"/>
      </rPr>
      <t>GrowingIO gio = GrowingIO.getInstance();
gio.setPageVariable(Activity activity, String key, String value);
gio.setPageVariable(Fragment fragment, String key, String value);</t>
    </r>
  </si>
  <si>
    <t>gio('setPage', properties: object)</t>
  </si>
  <si>
    <t>访问用户变量汇总（业务配置+技术埋点）</t>
  </si>
  <si>
    <r>
      <rPr>
        <b/>
        <sz val="14"/>
        <color rgb="FF000000"/>
        <rFont val="微软雅黑"/>
        <family val="2"/>
        <charset val="134"/>
      </rPr>
      <t>使用说明</t>
    </r>
  </si>
  <si>
    <r>
      <rPr>
        <sz val="14"/>
        <color rgb="FF000000"/>
        <rFont val="微软雅黑"/>
        <family val="2"/>
        <charset val="134"/>
      </rPr>
      <t>业务人员：</t>
    </r>
  </si>
  <si>
    <t>2. 点击左侧【用户变量】导航；</t>
  </si>
  <si>
    <t>3. 根据下表，在【访问用户变量】页签中进行访问用户变量的配置；</t>
  </si>
  <si>
    <r>
      <rPr>
        <sz val="14"/>
        <color rgb="FF000000"/>
        <rFont val="微软雅黑"/>
        <family val="2"/>
        <charset val="134"/>
      </rPr>
      <t>技术人员：</t>
    </r>
  </si>
  <si>
    <r>
      <rPr>
        <sz val="12"/>
        <color rgb="FF000000"/>
        <rFont val="微软雅黑"/>
        <family val="2"/>
        <charset val="134"/>
      </rPr>
      <t>请根据下表，完成代码实施。</t>
    </r>
  </si>
  <si>
    <r>
      <rPr>
        <sz val="14"/>
        <color rgb="FF000000"/>
        <rFont val="微软雅黑"/>
        <family val="2"/>
        <charset val="134"/>
      </rPr>
      <t>访问用户变量列表</t>
    </r>
  </si>
  <si>
    <r>
      <rPr>
        <sz val="14"/>
        <rFont val="微软雅黑"/>
        <family val="2"/>
        <charset val="134"/>
      </rPr>
      <t>示例代码</t>
    </r>
  </si>
  <si>
    <r>
      <rPr>
        <sz val="14"/>
        <color rgb="FF000000"/>
        <rFont val="微软雅黑"/>
        <family val="2"/>
        <charset val="134"/>
      </rPr>
      <t>模块</t>
    </r>
    <r>
      <rPr>
        <sz val="14"/>
        <color rgb="FF000000"/>
        <rFont val="Arial"/>
        <family val="2"/>
      </rPr>
      <t>/</t>
    </r>
    <r>
      <rPr>
        <sz val="14"/>
        <color rgb="FF000000"/>
        <rFont val="微软雅黑"/>
        <family val="2"/>
        <charset val="134"/>
      </rPr>
      <t>场景</t>
    </r>
  </si>
  <si>
    <r>
      <rPr>
        <sz val="14"/>
        <color rgb="FF000000"/>
        <rFont val="微软雅黑"/>
        <family val="2"/>
        <charset val="134"/>
      </rPr>
      <t>优先级</t>
    </r>
  </si>
  <si>
    <r>
      <rPr>
        <sz val="14"/>
        <color rgb="FF000000"/>
        <rFont val="微软雅黑"/>
        <family val="2"/>
        <charset val="134"/>
      </rPr>
      <t>是否
埋点？</t>
    </r>
  </si>
  <si>
    <r>
      <rPr>
        <sz val="14"/>
        <color rgb="FF000000"/>
        <rFont val="微软雅黑"/>
        <family val="2"/>
        <charset val="134"/>
      </rPr>
      <t>是否
验证？</t>
    </r>
  </si>
  <si>
    <r>
      <rPr>
        <sz val="14"/>
        <color rgb="FF000000"/>
        <rFont val="微软雅黑"/>
        <family val="2"/>
        <charset val="134"/>
      </rPr>
      <t>标识符</t>
    </r>
  </si>
  <si>
    <r>
      <rPr>
        <sz val="14"/>
        <color rgb="FF000000"/>
        <rFont val="微软雅黑"/>
        <family val="2"/>
        <charset val="134"/>
      </rPr>
      <t>名称</t>
    </r>
  </si>
  <si>
    <r>
      <rPr>
        <sz val="14"/>
        <color rgb="FF000000"/>
        <rFont val="微软雅黑"/>
        <family val="2"/>
        <charset val="134"/>
      </rPr>
      <t>触发时机</t>
    </r>
  </si>
  <si>
    <r>
      <rPr>
        <sz val="14"/>
        <color rgb="FF000000"/>
        <rFont val="微软雅黑"/>
        <family val="2"/>
        <charset val="134"/>
      </rPr>
      <t>描述</t>
    </r>
  </si>
  <si>
    <r>
      <rPr>
        <sz val="14"/>
        <color rgb="FF000000"/>
        <rFont val="微软雅黑"/>
        <family val="2"/>
        <charset val="134"/>
      </rPr>
      <t>取值示例</t>
    </r>
  </si>
  <si>
    <r>
      <t xml:space="preserve">iOS </t>
    </r>
    <r>
      <rPr>
        <b/>
        <sz val="14"/>
        <color rgb="FF000000"/>
        <rFont val="微软雅黑"/>
        <family val="2"/>
        <charset val="134"/>
      </rPr>
      <t>示例代码</t>
    </r>
  </si>
  <si>
    <r>
      <t xml:space="preserve">Android </t>
    </r>
    <r>
      <rPr>
        <b/>
        <sz val="14"/>
        <color rgb="FF000000"/>
        <rFont val="微软雅黑"/>
        <family val="2"/>
        <charset val="134"/>
      </rPr>
      <t>接口原型</t>
    </r>
  </si>
  <si>
    <r>
      <t xml:space="preserve">Android </t>
    </r>
    <r>
      <rPr>
        <b/>
        <sz val="14"/>
        <color rgb="FF000000"/>
        <rFont val="微软雅黑"/>
        <family val="2"/>
        <charset val="134"/>
      </rPr>
      <t>示例代码</t>
    </r>
  </si>
  <si>
    <r>
      <rPr>
        <b/>
        <sz val="14"/>
        <color rgb="FF000000"/>
        <rFont val="微软雅黑"/>
        <family val="2"/>
        <charset val="134"/>
      </rPr>
      <t>小程序接口原型</t>
    </r>
  </si>
  <si>
    <r>
      <rPr>
        <b/>
        <sz val="14"/>
        <color rgb="FF000000"/>
        <rFont val="微软雅黑"/>
        <family val="2"/>
        <charset val="134"/>
      </rPr>
      <t>小程序示例代码</t>
    </r>
  </si>
  <si>
    <t>AB测试</t>
  </si>
  <si>
    <t>userCampaign_vstr</t>
  </si>
  <si>
    <t>用户所属组别</t>
  </si>
  <si>
    <t>每次打开App，下发测试组别时</t>
  </si>
  <si>
    <t xml:space="preserve">三个组别：
campaign A、
campaign B、
campaign C
</t>
  </si>
  <si>
    <t>可上传组别id</t>
  </si>
  <si>
    <t>gio('visitor.set', key, value);</t>
  </si>
  <si>
    <t>+ (void)setVisitor:(NSDictionary&lt;NSString *, NSObject *&gt; *)variable;</t>
  </si>
  <si>
    <t>GrowingIO.getInstance().setVisitor(JSONObject visitorVar);</t>
  </si>
  <si>
    <t>gio('setVisitor', properties: object)</t>
  </si>
  <si>
    <t>普通注册用户
会员普卡
会员银卡
会员金卡</t>
    <phoneticPr fontId="70" type="noConversion"/>
  </si>
  <si>
    <t>标识符</t>
    <phoneticPr fontId="7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</si>
</sst>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1" x14ac:knownFonts="1">
    <font>
      <sz val="10"/>
      <color rgb="FF000000"/>
      <name val="Helvetica Neue"/>
    </font>
    <font>
      <sz val="10"/>
      <color rgb="FF000000"/>
      <name val="Microsoft YaHei"/>
      <family val="2"/>
      <charset val="134"/>
    </font>
    <font>
      <sz val="16"/>
      <color rgb="FF000000"/>
      <name val="Arial"/>
      <family val="2"/>
    </font>
    <font>
      <sz val="10"/>
      <name val="Helvetica Neue"/>
      <family val="2"/>
    </font>
    <font>
      <sz val="16"/>
      <color rgb="FF000000"/>
      <name val="Microsoft YaHei"/>
      <family val="2"/>
      <charset val="134"/>
    </font>
    <font>
      <b/>
      <sz val="14"/>
      <color rgb="FF000000"/>
      <name val="Arial"/>
      <family val="2"/>
    </font>
    <font>
      <b/>
      <sz val="14"/>
      <color rgb="FF000000"/>
      <name val="Microsoft YaHei"/>
      <family val="2"/>
      <charset val="134"/>
    </font>
    <font>
      <sz val="14"/>
      <color rgb="FF000000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2"/>
      <color rgb="FFFF0000"/>
      <name val="Microsoft YaHei"/>
      <family val="2"/>
      <charset val="134"/>
    </font>
    <font>
      <sz val="12"/>
      <color rgb="FF000000"/>
      <name val="Arial"/>
      <family val="2"/>
    </font>
    <font>
      <sz val="10"/>
      <name val="Microsoft YaHei"/>
      <family val="2"/>
      <charset val="134"/>
    </font>
    <font>
      <sz val="12"/>
      <color rgb="FFFFFFFF"/>
      <name val="Microsoft YaHei"/>
      <family val="2"/>
      <charset val="134"/>
    </font>
    <font>
      <sz val="10"/>
      <color rgb="FF000000"/>
      <name val="Arial"/>
      <family val="2"/>
    </font>
    <font>
      <b/>
      <sz val="11"/>
      <name val="Microsoft YaHei"/>
      <family val="2"/>
      <charset val="134"/>
    </font>
    <font>
      <sz val="10"/>
      <name val="Helvetica Neue"/>
      <family val="2"/>
    </font>
    <font>
      <sz val="11"/>
      <name val="Microsoft YaHei"/>
      <family val="2"/>
      <charset val="134"/>
    </font>
    <font>
      <b/>
      <sz val="16"/>
      <color rgb="FFFF0000"/>
      <name val="Helvetica Neue"/>
      <family val="2"/>
    </font>
    <font>
      <sz val="12"/>
      <name val="Microsoft YaHei"/>
      <family val="2"/>
      <charset val="134"/>
    </font>
    <font>
      <sz val="12"/>
      <name val="Arial"/>
      <family val="2"/>
    </font>
    <font>
      <sz val="10"/>
      <name val="Arial"/>
      <family val="2"/>
    </font>
    <font>
      <sz val="12"/>
      <color rgb="FF000000"/>
      <name val="Helvetica Neue"/>
      <family val="2"/>
    </font>
    <font>
      <b/>
      <sz val="10"/>
      <name val="Microsoft YaHei"/>
      <family val="2"/>
      <charset val="134"/>
    </font>
    <font>
      <u/>
      <sz val="11"/>
      <color rgb="FF0000FF"/>
      <name val="Microsoft YaHei"/>
      <family val="2"/>
      <charset val="134"/>
    </font>
    <font>
      <sz val="14"/>
      <name val="Microsoft YaHei"/>
      <family val="2"/>
      <charset val="134"/>
    </font>
    <font>
      <b/>
      <sz val="14"/>
      <name val="Microsoft YaHei"/>
      <family val="2"/>
      <charset val="134"/>
    </font>
    <font>
      <sz val="14"/>
      <name val="Arial"/>
      <family val="2"/>
    </font>
    <font>
      <sz val="14"/>
      <color rgb="FF000000"/>
      <name val="Arial"/>
      <family val="2"/>
    </font>
    <font>
      <b/>
      <sz val="14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Helvetica Neue"/>
      <family val="2"/>
    </font>
    <font>
      <b/>
      <sz val="12"/>
      <color rgb="FF000000"/>
      <name val="Arial"/>
      <family val="2"/>
    </font>
    <font>
      <sz val="12"/>
      <color rgb="FFF4F4F4"/>
      <name val="Arial"/>
      <family val="2"/>
    </font>
    <font>
      <u/>
      <sz val="12"/>
      <color rgb="FF0563C1"/>
      <name val="Arial"/>
      <family val="2"/>
    </font>
    <font>
      <u/>
      <sz val="12"/>
      <color rgb="FF0563C1"/>
      <name val="Microsoft YaHei"/>
      <family val="2"/>
      <charset val="134"/>
    </font>
    <font>
      <u/>
      <sz val="12"/>
      <color rgb="FF0563C1"/>
      <name val="Microsoft YaHei"/>
      <family val="2"/>
      <charset val="134"/>
    </font>
    <font>
      <u/>
      <sz val="12"/>
      <color rgb="FF0563C1"/>
      <name val="Microsoft YaHei"/>
      <family val="2"/>
      <charset val="134"/>
    </font>
    <font>
      <sz val="14"/>
      <color rgb="FF191140"/>
      <name val="Arial"/>
      <family val="2"/>
    </font>
    <font>
      <u/>
      <sz val="12"/>
      <color rgb="FF0563C1"/>
      <name val="Microsoft YaHei"/>
      <family val="2"/>
      <charset val="134"/>
    </font>
    <font>
      <u/>
      <sz val="12"/>
      <color rgb="FF0563C1"/>
      <name val="Helvetica Neue"/>
      <family val="2"/>
    </font>
    <font>
      <u/>
      <sz val="10"/>
      <color rgb="FF0563C1"/>
      <name val="Helvetica Neue"/>
      <family val="2"/>
    </font>
    <font>
      <sz val="10"/>
      <color rgb="FF000000"/>
      <name val="Lantinghei sc demibold"/>
    </font>
    <font>
      <sz val="11"/>
      <color rgb="FF191140"/>
      <name val="Arial"/>
      <family val="2"/>
    </font>
    <font>
      <sz val="10"/>
      <color rgb="FF000000"/>
      <name val="Lantinghei sc extralight"/>
    </font>
    <font>
      <sz val="12"/>
      <color rgb="FFFF0000"/>
      <name val="Arial"/>
      <family val="2"/>
    </font>
    <font>
      <u/>
      <sz val="12"/>
      <color rgb="FF0563C1"/>
      <name val="Microsoft YaHei"/>
      <family val="2"/>
      <charset val="134"/>
    </font>
    <font>
      <u/>
      <sz val="12"/>
      <color rgb="FF0563C1"/>
      <name val="Microsoft YaHei"/>
      <family val="2"/>
      <charset val="134"/>
    </font>
    <font>
      <sz val="14"/>
      <color rgb="FF000000"/>
      <name val="Courier New"/>
      <family val="1"/>
    </font>
    <font>
      <sz val="14"/>
      <color rgb="FF191140"/>
      <name val="Microsoft YaHei"/>
      <family val="2"/>
      <charset val="134"/>
    </font>
    <font>
      <sz val="12"/>
      <color rgb="FF191140"/>
      <name val="Arial"/>
      <family val="2"/>
    </font>
    <font>
      <u/>
      <sz val="12"/>
      <color rgb="FF0563C1"/>
      <name val="Microsoft YaHei"/>
      <family val="2"/>
      <charset val="134"/>
    </font>
    <font>
      <u/>
      <sz val="12"/>
      <color rgb="FF0563C1"/>
      <name val="Microsoft YaHei"/>
      <family val="2"/>
      <charset val="134"/>
    </font>
    <font>
      <sz val="12"/>
      <color rgb="FF000000"/>
      <name val="SimSun"/>
      <family val="3"/>
      <charset val="134"/>
    </font>
    <font>
      <u/>
      <sz val="12"/>
      <color rgb="FF0563C1"/>
      <name val="Microsoft YaHei"/>
      <family val="2"/>
      <charset val="134"/>
    </font>
    <font>
      <sz val="12"/>
      <color rgb="FF191140"/>
      <name val="Microsoft YaHei"/>
      <family val="2"/>
      <charset val="134"/>
    </font>
    <font>
      <u/>
      <sz val="12"/>
      <color rgb="FF0563C1"/>
      <name val="Microsoft YaHei"/>
      <family val="2"/>
      <charset val="134"/>
    </font>
    <font>
      <sz val="16"/>
      <color rgb="FF000000"/>
      <name val="微软雅黑"/>
      <family val="2"/>
      <charset val="134"/>
    </font>
    <font>
      <b/>
      <sz val="14"/>
      <color rgb="FF000000"/>
      <name val="微软雅黑"/>
      <family val="2"/>
      <charset val="134"/>
    </font>
    <font>
      <sz val="14"/>
      <name val="微软雅黑"/>
      <family val="2"/>
      <charset val="134"/>
    </font>
    <font>
      <b/>
      <sz val="14"/>
      <name val="微软雅黑"/>
      <family val="2"/>
      <charset val="134"/>
    </font>
    <font>
      <sz val="14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1"/>
      <color rgb="FF000000"/>
      <name val="SimSun"/>
      <family val="3"/>
      <charset val="134"/>
    </font>
    <font>
      <b/>
      <sz val="12"/>
      <color rgb="FF000000"/>
      <name val="微软雅黑"/>
      <family val="2"/>
      <charset val="134"/>
    </font>
    <font>
      <u/>
      <sz val="12"/>
      <color rgb="FF0563C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2"/>
      <name val="微软雅黑"/>
      <family val="2"/>
      <charset val="134"/>
    </font>
    <font>
      <sz val="12"/>
      <color rgb="FFF4F4F4"/>
      <name val="微软雅黑"/>
      <family val="2"/>
      <charset val="134"/>
    </font>
    <font>
      <sz val="12"/>
      <color rgb="FF191140"/>
      <name val="微软雅黑"/>
      <family val="2"/>
      <charset val="134"/>
    </font>
    <font>
      <sz val="9"/>
      <name val="宋体"/>
      <family val="3"/>
      <charset val="134"/>
    </font>
  </fonts>
  <fills count="18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rgb="FFFF0000"/>
        <bgColor rgb="FFFF0000"/>
      </patternFill>
    </fill>
    <fill>
      <patternFill patternType="solid">
        <fgColor rgb="FF5B9BD5"/>
        <bgColor rgb="FF5B9BD5"/>
      </patternFill>
    </fill>
    <fill>
      <patternFill patternType="solid">
        <fgColor rgb="FFBDC0BF"/>
        <bgColor rgb="FFBDC0BF"/>
      </patternFill>
    </fill>
    <fill>
      <patternFill patternType="solid">
        <fgColor rgb="FFFFE599"/>
        <bgColor rgb="FFFFE599"/>
      </patternFill>
    </fill>
    <fill>
      <patternFill patternType="solid">
        <fgColor rgb="FFA5A5A5"/>
        <bgColor rgb="FFA5A5A5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F4B083"/>
        <bgColor rgb="FFF4B083"/>
      </patternFill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  <fill>
      <patternFill patternType="solid">
        <fgColor rgb="FFC8C8C8"/>
        <bgColor rgb="FFC8C8C8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</fills>
  <borders count="7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/>
      <diagonal/>
    </border>
    <border>
      <left/>
      <right/>
      <top/>
      <bottom/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/>
      <right/>
      <top/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/>
      <top style="thin">
        <color rgb="FFE7E6E6"/>
      </top>
      <bottom style="thin">
        <color rgb="FFE7E6E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7E6E6"/>
      </left>
      <right style="thin">
        <color rgb="FFE7E6E6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E7E6E6"/>
      </left>
      <right style="thin">
        <color rgb="FFE7E6E6"/>
      </right>
      <top/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7E6E6"/>
      </left>
      <right/>
      <top/>
      <bottom/>
      <diagonal/>
    </border>
    <border>
      <left/>
      <right/>
      <top/>
      <bottom style="thin">
        <color rgb="FFDBDBDB"/>
      </bottom>
      <diagonal/>
    </border>
    <border>
      <left/>
      <right/>
      <top/>
      <bottom style="thin">
        <color rgb="FFDBDBDB"/>
      </bottom>
      <diagonal/>
    </border>
    <border>
      <left/>
      <right/>
      <top/>
      <bottom style="thin">
        <color rgb="FFDBDBDB"/>
      </bottom>
      <diagonal/>
    </border>
    <border>
      <left/>
      <right style="thin">
        <color rgb="FFE7E6E6"/>
      </right>
      <top/>
      <bottom/>
      <diagonal/>
    </border>
    <border>
      <left/>
      <right/>
      <top/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/>
      <right/>
      <top style="thin">
        <color rgb="FFDBDBDB"/>
      </top>
      <bottom style="thin">
        <color rgb="FFDBDBDB"/>
      </bottom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/>
      <top style="thin">
        <color rgb="FFDBDBDB"/>
      </top>
      <bottom style="thin">
        <color rgb="FFDBDBDB"/>
      </bottom>
      <diagonal/>
    </border>
    <border>
      <left/>
      <right/>
      <top/>
      <bottom style="thin">
        <color rgb="FFE7E6E6"/>
      </bottom>
      <diagonal/>
    </border>
    <border>
      <left/>
      <right style="thin">
        <color rgb="FFDBDBDB"/>
      </right>
      <top style="thin">
        <color rgb="FFDBDBDB"/>
      </top>
      <bottom style="thin">
        <color rgb="FFDBDBDB"/>
      </bottom>
      <diagonal/>
    </border>
    <border>
      <left/>
      <right/>
      <top/>
      <bottom style="thin">
        <color rgb="FFE7E6E6"/>
      </bottom>
      <diagonal/>
    </border>
    <border>
      <left/>
      <right/>
      <top/>
      <bottom style="thin">
        <color rgb="FFE7E6E6"/>
      </bottom>
      <diagonal/>
    </border>
    <border>
      <left style="thin">
        <color rgb="FFDBDBDB"/>
      </left>
      <right/>
      <top style="thin">
        <color rgb="FFDBDBDB"/>
      </top>
      <bottom style="thin">
        <color rgb="FFDBDBDB"/>
      </bottom>
      <diagonal/>
    </border>
    <border>
      <left/>
      <right/>
      <top style="thin">
        <color rgb="FFDBDBDB"/>
      </top>
      <bottom style="thin">
        <color rgb="FFDBDBDB"/>
      </bottom>
      <diagonal/>
    </border>
    <border>
      <left style="thin">
        <color rgb="FFE7E6E6"/>
      </left>
      <right/>
      <top style="thin">
        <color rgb="FFE7E6E6"/>
      </top>
      <bottom style="thin">
        <color rgb="FFA5A5A5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 style="thin">
        <color rgb="FFE7E6E6"/>
      </left>
      <right/>
      <top style="thin">
        <color rgb="FFE7E6E6"/>
      </top>
      <bottom/>
      <diagonal/>
    </border>
    <border>
      <left/>
      <right/>
      <top style="thin">
        <color rgb="FFE7E6E6"/>
      </top>
      <bottom/>
      <diagonal/>
    </border>
    <border>
      <left/>
      <right style="thin">
        <color rgb="FFDBDBDB"/>
      </right>
      <top style="thin">
        <color rgb="FFDBDBDB"/>
      </top>
      <bottom style="thin">
        <color rgb="FFDBDBDB"/>
      </bottom>
      <diagonal/>
    </border>
    <border>
      <left/>
      <right style="thin">
        <color rgb="FFE7E6E6"/>
      </right>
      <top style="thin">
        <color rgb="FFE7E6E6"/>
      </top>
      <bottom/>
      <diagonal/>
    </border>
    <border>
      <left style="thin">
        <color rgb="FFDBDBDB"/>
      </left>
      <right style="thin">
        <color rgb="FFDBDBDB"/>
      </right>
      <top style="thin">
        <color rgb="FFDBDBDB"/>
      </top>
      <bottom style="thin">
        <color rgb="FFDBDBDB"/>
      </bottom>
      <diagonal/>
    </border>
    <border>
      <left style="thin">
        <color rgb="FFDBDBDB"/>
      </left>
      <right style="thin">
        <color rgb="FFDBDBDB"/>
      </right>
      <top style="thin">
        <color rgb="FFDBDBDB"/>
      </top>
      <bottom/>
      <diagonal/>
    </border>
    <border>
      <left style="thin">
        <color rgb="FFDBDBDB"/>
      </left>
      <right/>
      <top style="thin">
        <color rgb="FFDBDBDB"/>
      </top>
      <bottom/>
      <diagonal/>
    </border>
    <border>
      <left/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DBDBDB"/>
      </left>
      <right style="thin">
        <color rgb="FFDBDBDB"/>
      </right>
      <top/>
      <bottom/>
      <diagonal/>
    </border>
    <border>
      <left style="thin">
        <color rgb="FFE7E6E6"/>
      </left>
      <right/>
      <top/>
      <bottom style="thin">
        <color rgb="FFE7E6E6"/>
      </bottom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DBDBDB"/>
      </left>
      <right style="thin">
        <color rgb="FFDBDBDB"/>
      </right>
      <top style="thin">
        <color rgb="FFDBDBDB"/>
      </top>
      <bottom/>
      <diagonal/>
    </border>
    <border>
      <left/>
      <right style="thin">
        <color rgb="FFDBDBDB"/>
      </right>
      <top style="thin">
        <color rgb="FFE7E6E6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/>
      <right/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 style="thin">
        <color rgb="FFA5A5A5"/>
      </top>
      <bottom/>
      <diagonal/>
    </border>
    <border>
      <left/>
      <right style="thin">
        <color rgb="FFDBDBDB"/>
      </right>
      <top/>
      <bottom/>
      <diagonal/>
    </border>
    <border>
      <left style="thin">
        <color rgb="FFDBDBDB"/>
      </left>
      <right style="thin">
        <color rgb="FFDBDBDB"/>
      </right>
      <top/>
      <bottom style="thin">
        <color rgb="FFDBDBDB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/>
      <right style="thin">
        <color rgb="FFE7E6E6"/>
      </right>
      <top/>
      <bottom style="thin">
        <color rgb="FFE7E6E6"/>
      </bottom>
      <diagonal/>
    </border>
    <border>
      <left style="thin">
        <color rgb="FFDBDBDB"/>
      </left>
      <right style="thin">
        <color rgb="FFDBDBDB"/>
      </right>
      <top style="thin">
        <color rgb="FFA5A5A5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19">
    <xf numFmtId="0" fontId="0" fillId="0" borderId="0" xfId="0" applyFont="1" applyAlignment="1"/>
    <xf numFmtId="0" fontId="1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0" fontId="8" fillId="0" borderId="0" xfId="0" applyFont="1" applyAlignment="1">
      <alignment horizontal="left" vertical="center"/>
    </xf>
    <xf numFmtId="0" fontId="8" fillId="0" borderId="6" xfId="0" applyFont="1" applyBorder="1" applyAlignment="1"/>
    <xf numFmtId="0" fontId="8" fillId="0" borderId="7" xfId="0" applyFont="1" applyBorder="1" applyAlignment="1"/>
    <xf numFmtId="0" fontId="8" fillId="0" borderId="8" xfId="0" applyFont="1" applyBorder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10" fillId="0" borderId="8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0" fillId="0" borderId="9" xfId="0" applyFont="1" applyBorder="1" applyAlignment="1">
      <alignment horizontal="left" vertical="center"/>
    </xf>
    <xf numFmtId="0" fontId="11" fillId="0" borderId="0" xfId="0" applyFont="1" applyAlignment="1">
      <alignment horizontal="center" vertical="top" wrapText="1"/>
    </xf>
    <xf numFmtId="0" fontId="10" fillId="0" borderId="0" xfId="0" applyFont="1" applyAlignment="1">
      <alignment horizontal="left" vertical="center"/>
    </xf>
    <xf numFmtId="0" fontId="13" fillId="0" borderId="0" xfId="0" applyFont="1" applyAlignment="1">
      <alignment vertical="top" wrapText="1"/>
    </xf>
    <xf numFmtId="0" fontId="14" fillId="3" borderId="13" xfId="0" applyFont="1" applyFill="1" applyBorder="1" applyAlignment="1">
      <alignment vertical="center" wrapText="1"/>
    </xf>
    <xf numFmtId="0" fontId="15" fillId="0" borderId="0" xfId="0" applyFont="1" applyAlignment="1">
      <alignment horizontal="center" vertical="top" wrapText="1"/>
    </xf>
    <xf numFmtId="0" fontId="16" fillId="0" borderId="13" xfId="0" applyFont="1" applyBorder="1" applyAlignment="1">
      <alignment vertical="center" wrapText="1"/>
    </xf>
    <xf numFmtId="0" fontId="17" fillId="0" borderId="0" xfId="0" applyFont="1" applyAlignment="1">
      <alignment horizontal="center" vertical="top" wrapText="1"/>
    </xf>
    <xf numFmtId="0" fontId="8" fillId="0" borderId="17" xfId="0" applyFont="1" applyBorder="1" applyAlignment="1"/>
    <xf numFmtId="0" fontId="11" fillId="0" borderId="0" xfId="0" applyFont="1" applyAlignment="1">
      <alignment vertical="top" wrapText="1"/>
    </xf>
    <xf numFmtId="0" fontId="8" fillId="0" borderId="18" xfId="0" applyFont="1" applyBorder="1" applyAlignment="1"/>
    <xf numFmtId="0" fontId="18" fillId="0" borderId="8" xfId="0" applyFont="1" applyBorder="1" applyAlignment="1">
      <alignment vertical="top" wrapText="1"/>
    </xf>
    <xf numFmtId="0" fontId="9" fillId="0" borderId="17" xfId="0" applyFont="1" applyBorder="1" applyAlignment="1"/>
    <xf numFmtId="0" fontId="19" fillId="0" borderId="8" xfId="0" applyFont="1" applyBorder="1" applyAlignment="1">
      <alignment vertical="top" wrapText="1"/>
    </xf>
    <xf numFmtId="0" fontId="16" fillId="0" borderId="13" xfId="0" applyFont="1" applyBorder="1" applyAlignment="1">
      <alignment vertical="center" wrapText="1"/>
    </xf>
    <xf numFmtId="0" fontId="19" fillId="0" borderId="9" xfId="0" applyFont="1" applyBorder="1" applyAlignment="1">
      <alignment vertical="top" wrapText="1"/>
    </xf>
    <xf numFmtId="0" fontId="15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0" fillId="0" borderId="8" xfId="0" applyFont="1" applyBorder="1" applyAlignment="1">
      <alignment vertical="top" wrapText="1"/>
    </xf>
    <xf numFmtId="0" fontId="20" fillId="0" borderId="9" xfId="0" applyFont="1" applyBorder="1" applyAlignment="1">
      <alignment vertical="top" wrapText="1"/>
    </xf>
    <xf numFmtId="0" fontId="7" fillId="0" borderId="8" xfId="0" applyFont="1" applyBorder="1" applyAlignment="1">
      <alignment horizontal="center" vertical="center"/>
    </xf>
    <xf numFmtId="0" fontId="23" fillId="0" borderId="13" xfId="0" applyFont="1" applyBorder="1" applyAlignment="1">
      <alignment vertical="center" wrapText="1"/>
    </xf>
    <xf numFmtId="0" fontId="24" fillId="0" borderId="0" xfId="0" applyFont="1" applyAlignment="1">
      <alignment horizontal="center" vertical="center" wrapText="1"/>
    </xf>
    <xf numFmtId="0" fontId="26" fillId="5" borderId="25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left" vertical="center"/>
    </xf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7" fillId="0" borderId="0" xfId="0" applyFont="1" applyAlignment="1">
      <alignment horizontal="left" vertical="center"/>
    </xf>
    <xf numFmtId="0" fontId="27" fillId="6" borderId="25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31" xfId="0" applyFont="1" applyBorder="1" applyAlignment="1">
      <alignment vertical="top" wrapText="1"/>
    </xf>
    <xf numFmtId="0" fontId="26" fillId="0" borderId="0" xfId="0" applyFont="1" applyAlignment="1">
      <alignment horizontal="center" vertical="center" wrapText="1"/>
    </xf>
    <xf numFmtId="0" fontId="5" fillId="12" borderId="8" xfId="0" applyFont="1" applyFill="1" applyBorder="1" applyAlignment="1">
      <alignment horizontal="center" vertical="center" wrapText="1"/>
    </xf>
    <xf numFmtId="0" fontId="6" fillId="12" borderId="6" xfId="0" applyFont="1" applyFill="1" applyBorder="1" applyAlignment="1">
      <alignment horizontal="center" vertical="center" wrapText="1"/>
    </xf>
    <xf numFmtId="49" fontId="5" fillId="9" borderId="45" xfId="0" applyNumberFormat="1" applyFont="1" applyFill="1" applyBorder="1" applyAlignment="1">
      <alignment horizontal="center" vertical="center" wrapText="1"/>
    </xf>
    <xf numFmtId="49" fontId="6" fillId="10" borderId="8" xfId="0" applyNumberFormat="1" applyFont="1" applyFill="1" applyBorder="1" applyAlignment="1">
      <alignment horizontal="center" vertical="center" wrapText="1"/>
    </xf>
    <xf numFmtId="49" fontId="5" fillId="9" borderId="46" xfId="0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vertical="top" wrapText="1"/>
    </xf>
    <xf numFmtId="49" fontId="5" fillId="10" borderId="47" xfId="0" applyNumberFormat="1" applyFont="1" applyFill="1" applyBorder="1" applyAlignment="1">
      <alignment horizontal="center" vertical="center" wrapText="1"/>
    </xf>
    <xf numFmtId="49" fontId="6" fillId="9" borderId="45" xfId="0" applyNumberFormat="1" applyFont="1" applyFill="1" applyBorder="1" applyAlignment="1">
      <alignment horizontal="center" vertical="center" wrapText="1"/>
    </xf>
    <xf numFmtId="49" fontId="5" fillId="4" borderId="50" xfId="0" applyNumberFormat="1" applyFont="1" applyFill="1" applyBorder="1" applyAlignment="1">
      <alignment horizontal="center" vertical="center" wrapText="1"/>
    </xf>
    <xf numFmtId="49" fontId="5" fillId="4" borderId="52" xfId="0" applyNumberFormat="1" applyFont="1" applyFill="1" applyBorder="1" applyAlignment="1">
      <alignment horizontal="center" vertical="center" wrapText="1"/>
    </xf>
    <xf numFmtId="0" fontId="26" fillId="11" borderId="53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vertical="top" wrapText="1"/>
    </xf>
    <xf numFmtId="0" fontId="26" fillId="11" borderId="54" xfId="0" applyFont="1" applyFill="1" applyBorder="1" applyAlignment="1">
      <alignment horizontal="center" vertical="center" wrapText="1"/>
    </xf>
    <xf numFmtId="0" fontId="30" fillId="0" borderId="8" xfId="0" applyFont="1" applyBorder="1" applyAlignment="1">
      <alignment vertical="top" wrapText="1"/>
    </xf>
    <xf numFmtId="49" fontId="6" fillId="10" borderId="55" xfId="0" applyNumberFormat="1" applyFont="1" applyFill="1" applyBorder="1" applyAlignment="1">
      <alignment horizontal="center" vertical="center" wrapText="1"/>
    </xf>
    <xf numFmtId="0" fontId="31" fillId="0" borderId="8" xfId="0" quotePrefix="1" applyFont="1" applyBorder="1" applyAlignment="1">
      <alignment vertical="top" wrapText="1"/>
    </xf>
    <xf numFmtId="0" fontId="6" fillId="12" borderId="55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top" wrapText="1"/>
    </xf>
    <xf numFmtId="49" fontId="8" fillId="0" borderId="8" xfId="0" applyNumberFormat="1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49" fontId="10" fillId="0" borderId="59" xfId="0" applyNumberFormat="1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34" fillId="0" borderId="8" xfId="0" applyFont="1" applyBorder="1" applyAlignment="1">
      <alignment vertical="top" wrapText="1"/>
    </xf>
    <xf numFmtId="0" fontId="19" fillId="0" borderId="59" xfId="0" applyFont="1" applyBorder="1" applyAlignment="1">
      <alignment horizontal="center" vertical="center" wrapText="1"/>
    </xf>
    <xf numFmtId="0" fontId="35" fillId="0" borderId="8" xfId="0" applyFont="1" applyBorder="1" applyAlignment="1">
      <alignment vertical="top" wrapText="1"/>
    </xf>
    <xf numFmtId="49" fontId="8" fillId="0" borderId="56" xfId="0" applyNumberFormat="1" applyFont="1" applyBorder="1" applyAlignment="1">
      <alignment horizontal="center" vertical="center" wrapText="1"/>
    </xf>
    <xf numFmtId="0" fontId="36" fillId="0" borderId="9" xfId="0" applyFont="1" applyBorder="1" applyAlignment="1">
      <alignment vertical="top" wrapText="1"/>
    </xf>
    <xf numFmtId="0" fontId="37" fillId="0" borderId="0" xfId="0" applyFont="1" applyAlignment="1">
      <alignment vertical="top" wrapText="1"/>
    </xf>
    <xf numFmtId="0" fontId="7" fillId="0" borderId="0" xfId="0" applyFont="1" applyAlignment="1">
      <alignment horizontal="center" vertical="center" wrapText="1"/>
    </xf>
    <xf numFmtId="49" fontId="27" fillId="7" borderId="64" xfId="0" applyNumberFormat="1" applyFont="1" applyFill="1" applyBorder="1" applyAlignment="1">
      <alignment horizontal="center" vertical="top" wrapText="1"/>
    </xf>
    <xf numFmtId="49" fontId="7" fillId="7" borderId="64" xfId="0" applyNumberFormat="1" applyFont="1" applyFill="1" applyBorder="1" applyAlignment="1">
      <alignment horizontal="center" vertical="center" wrapText="1"/>
    </xf>
    <xf numFmtId="49" fontId="7" fillId="7" borderId="64" xfId="0" applyNumberFormat="1" applyFont="1" applyFill="1" applyBorder="1" applyAlignment="1">
      <alignment horizontal="center" vertical="top" wrapText="1"/>
    </xf>
    <xf numFmtId="49" fontId="7" fillId="7" borderId="65" xfId="0" applyNumberFormat="1" applyFont="1" applyFill="1" applyBorder="1" applyAlignment="1">
      <alignment horizontal="center" vertical="top" wrapText="1"/>
    </xf>
    <xf numFmtId="0" fontId="7" fillId="7" borderId="65" xfId="0" applyFont="1" applyFill="1" applyBorder="1" applyAlignment="1">
      <alignment horizontal="center" vertical="top" wrapText="1"/>
    </xf>
    <xf numFmtId="0" fontId="6" fillId="12" borderId="8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top" wrapText="1"/>
    </xf>
    <xf numFmtId="0" fontId="0" fillId="0" borderId="0" xfId="0" applyFont="1" applyAlignment="1">
      <alignment horizontal="center" vertical="top" wrapText="1"/>
    </xf>
    <xf numFmtId="0" fontId="0" fillId="0" borderId="8" xfId="0" applyFont="1" applyBorder="1" applyAlignment="1">
      <alignment vertical="top" wrapText="1"/>
    </xf>
    <xf numFmtId="0" fontId="10" fillId="0" borderId="23" xfId="0" quotePrefix="1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8" xfId="0" quotePrefix="1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8" fillId="0" borderId="8" xfId="0" applyFont="1" applyBorder="1" applyAlignment="1">
      <alignment horizontal="center" vertical="top" wrapText="1"/>
    </xf>
    <xf numFmtId="0" fontId="39" fillId="0" borderId="23" xfId="0" applyFont="1" applyBorder="1" applyAlignment="1">
      <alignment vertical="top" wrapText="1"/>
    </xf>
    <xf numFmtId="49" fontId="13" fillId="0" borderId="8" xfId="0" applyNumberFormat="1" applyFont="1" applyBorder="1" applyAlignment="1">
      <alignment vertical="top" wrapText="1"/>
    </xf>
    <xf numFmtId="0" fontId="8" fillId="0" borderId="8" xfId="0" applyFont="1" applyBorder="1" applyAlignment="1">
      <alignment vertical="top" wrapText="1"/>
    </xf>
    <xf numFmtId="0" fontId="40" fillId="0" borderId="8" xfId="0" applyFont="1" applyBorder="1" applyAlignment="1">
      <alignment vertical="top" wrapText="1"/>
    </xf>
    <xf numFmtId="0" fontId="41" fillId="0" borderId="0" xfId="0" applyFont="1" applyAlignment="1">
      <alignment vertical="top" wrapText="1"/>
    </xf>
    <xf numFmtId="49" fontId="7" fillId="0" borderId="8" xfId="0" applyNumberFormat="1" applyFont="1" applyBorder="1" applyAlignment="1">
      <alignment horizontal="center" vertical="center" wrapText="1"/>
    </xf>
    <xf numFmtId="49" fontId="42" fillId="0" borderId="8" xfId="0" applyNumberFormat="1" applyFont="1" applyBorder="1" applyAlignment="1">
      <alignment vertical="top" wrapText="1"/>
    </xf>
    <xf numFmtId="49" fontId="43" fillId="0" borderId="8" xfId="0" applyNumberFormat="1" applyFont="1" applyBorder="1" applyAlignment="1">
      <alignment vertical="top" wrapText="1"/>
    </xf>
    <xf numFmtId="49" fontId="44" fillId="0" borderId="8" xfId="0" applyNumberFormat="1" applyFont="1" applyBorder="1" applyAlignment="1">
      <alignment vertical="top" wrapText="1"/>
    </xf>
    <xf numFmtId="49" fontId="44" fillId="0" borderId="57" xfId="0" applyNumberFormat="1" applyFont="1" applyBorder="1" applyAlignment="1">
      <alignment vertical="top" wrapText="1"/>
    </xf>
    <xf numFmtId="0" fontId="1" fillId="0" borderId="8" xfId="0" applyFont="1" applyBorder="1" applyAlignment="1">
      <alignment horizontal="center" vertical="top" wrapText="1"/>
    </xf>
    <xf numFmtId="49" fontId="44" fillId="0" borderId="0" xfId="0" applyNumberFormat="1" applyFont="1" applyAlignment="1">
      <alignment vertical="top" wrapText="1"/>
    </xf>
    <xf numFmtId="0" fontId="44" fillId="0" borderId="0" xfId="0" applyFont="1" applyAlignment="1">
      <alignment vertical="top" wrapText="1"/>
    </xf>
    <xf numFmtId="0" fontId="7" fillId="0" borderId="8" xfId="0" applyFont="1" applyBorder="1" applyAlignment="1">
      <alignment horizontal="center" vertical="center" wrapText="1"/>
    </xf>
    <xf numFmtId="0" fontId="42" fillId="0" borderId="8" xfId="0" applyFont="1" applyBorder="1" applyAlignment="1">
      <alignment vertical="top" wrapText="1"/>
    </xf>
    <xf numFmtId="49" fontId="44" fillId="0" borderId="9" xfId="0" applyNumberFormat="1" applyFont="1" applyBorder="1" applyAlignment="1">
      <alignment vertical="top" wrapText="1"/>
    </xf>
    <xf numFmtId="49" fontId="13" fillId="0" borderId="0" xfId="0" applyNumberFormat="1" applyFont="1" applyAlignment="1">
      <alignment vertical="top" wrapText="1"/>
    </xf>
    <xf numFmtId="0" fontId="0" fillId="0" borderId="9" xfId="0" applyFont="1" applyBorder="1" applyAlignment="1">
      <alignment vertical="top" wrapText="1"/>
    </xf>
    <xf numFmtId="0" fontId="18" fillId="0" borderId="56" xfId="0" applyFont="1" applyBorder="1" applyAlignment="1">
      <alignment horizontal="center" vertical="top" wrapText="1"/>
    </xf>
    <xf numFmtId="49" fontId="8" fillId="0" borderId="66" xfId="0" applyNumberFormat="1" applyFont="1" applyBorder="1" applyAlignment="1">
      <alignment horizontal="center" vertical="center" wrapText="1"/>
    </xf>
    <xf numFmtId="49" fontId="10" fillId="0" borderId="5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49" fontId="10" fillId="0" borderId="52" xfId="0" applyNumberFormat="1" applyFont="1" applyBorder="1" applyAlignment="1">
      <alignment horizontal="center" vertical="center" wrapText="1"/>
    </xf>
    <xf numFmtId="0" fontId="18" fillId="0" borderId="66" xfId="0" applyFont="1" applyBorder="1" applyAlignment="1">
      <alignment horizontal="center" vertical="top" wrapText="1"/>
    </xf>
    <xf numFmtId="0" fontId="18" fillId="0" borderId="67" xfId="0" applyFont="1" applyBorder="1" applyAlignment="1">
      <alignment horizontal="center" vertical="top" wrapText="1"/>
    </xf>
    <xf numFmtId="0" fontId="45" fillId="0" borderId="0" xfId="0" applyFont="1" applyAlignment="1">
      <alignment vertical="top" wrapText="1"/>
    </xf>
    <xf numFmtId="49" fontId="8" fillId="0" borderId="59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0" fontId="46" fillId="0" borderId="0" xfId="0" applyFont="1" applyAlignment="1">
      <alignment horizontal="left" vertical="center" wrapText="1"/>
    </xf>
    <xf numFmtId="0" fontId="18" fillId="0" borderId="56" xfId="0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48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19" fillId="0" borderId="0" xfId="0" applyFont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8" fillId="0" borderId="59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67" xfId="0" applyFont="1" applyBorder="1" applyAlignment="1">
      <alignment horizontal="left" vertical="center" wrapText="1"/>
    </xf>
    <xf numFmtId="0" fontId="19" fillId="0" borderId="52" xfId="0" applyFont="1" applyBorder="1" applyAlignment="1">
      <alignment horizontal="left" vertical="center" wrapText="1"/>
    </xf>
    <xf numFmtId="0" fontId="21" fillId="0" borderId="0" xfId="0" applyFont="1" applyAlignment="1">
      <alignment vertical="top" wrapText="1"/>
    </xf>
    <xf numFmtId="0" fontId="10" fillId="0" borderId="6" xfId="0" applyFont="1" applyBorder="1" applyAlignment="1">
      <alignment vertical="center"/>
    </xf>
    <xf numFmtId="49" fontId="42" fillId="0" borderId="0" xfId="0" applyNumberFormat="1" applyFont="1" applyAlignment="1">
      <alignment vertical="top" wrapText="1"/>
    </xf>
    <xf numFmtId="0" fontId="20" fillId="0" borderId="4" xfId="0" applyFont="1" applyBorder="1" applyAlignment="1">
      <alignment vertical="top" wrapText="1"/>
    </xf>
    <xf numFmtId="0" fontId="10" fillId="0" borderId="8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9" fillId="0" borderId="0" xfId="0" applyFont="1" applyAlignment="1">
      <alignment vertical="top" wrapText="1"/>
    </xf>
    <xf numFmtId="49" fontId="7" fillId="0" borderId="0" xfId="0" applyNumberFormat="1" applyFont="1" applyAlignment="1">
      <alignment horizontal="center" vertical="top" wrapText="1"/>
    </xf>
    <xf numFmtId="49" fontId="13" fillId="0" borderId="0" xfId="0" applyNumberFormat="1" applyFont="1" applyAlignment="1">
      <alignment horizontal="center" vertical="top" wrapText="1"/>
    </xf>
    <xf numFmtId="49" fontId="27" fillId="7" borderId="8" xfId="0" applyNumberFormat="1" applyFont="1" applyFill="1" applyBorder="1" applyAlignment="1">
      <alignment horizontal="center" vertical="top" wrapText="1"/>
    </xf>
    <xf numFmtId="49" fontId="7" fillId="7" borderId="8" xfId="0" applyNumberFormat="1" applyFont="1" applyFill="1" applyBorder="1" applyAlignment="1">
      <alignment horizontal="center" vertical="top" wrapText="1"/>
    </xf>
    <xf numFmtId="49" fontId="27" fillId="15" borderId="8" xfId="0" applyNumberFormat="1" applyFont="1" applyFill="1" applyBorder="1" applyAlignment="1">
      <alignment horizontal="center" vertical="top" wrapText="1"/>
    </xf>
    <xf numFmtId="49" fontId="27" fillId="16" borderId="8" xfId="0" applyNumberFormat="1" applyFont="1" applyFill="1" applyBorder="1" applyAlignment="1">
      <alignment horizontal="center" vertical="top" wrapText="1"/>
    </xf>
    <xf numFmtId="0" fontId="27" fillId="7" borderId="6" xfId="0" applyFont="1" applyFill="1" applyBorder="1" applyAlignment="1">
      <alignment horizontal="center" vertical="top" wrapText="1"/>
    </xf>
    <xf numFmtId="49" fontId="10" fillId="13" borderId="8" xfId="0" applyNumberFormat="1" applyFont="1" applyFill="1" applyBorder="1" applyAlignment="1">
      <alignment horizontal="center" vertical="top" wrapText="1"/>
    </xf>
    <xf numFmtId="49" fontId="49" fillId="0" borderId="8" xfId="0" applyNumberFormat="1" applyFont="1" applyBorder="1" applyAlignment="1">
      <alignment horizontal="center" vertical="top" wrapText="1"/>
    </xf>
    <xf numFmtId="0" fontId="50" fillId="0" borderId="8" xfId="0" applyFont="1" applyBorder="1" applyAlignment="1">
      <alignment horizontal="center" vertical="top" wrapText="1"/>
    </xf>
    <xf numFmtId="49" fontId="50" fillId="0" borderId="8" xfId="0" applyNumberFormat="1" applyFont="1" applyBorder="1" applyAlignment="1">
      <alignment horizontal="center" vertical="top" wrapText="1"/>
    </xf>
    <xf numFmtId="49" fontId="10" fillId="0" borderId="8" xfId="0" applyNumberFormat="1" applyFont="1" applyBorder="1" applyAlignment="1">
      <alignment horizontal="center" vertical="top" wrapText="1"/>
    </xf>
    <xf numFmtId="49" fontId="10" fillId="0" borderId="8" xfId="0" applyNumberFormat="1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10" fillId="0" borderId="23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8" xfId="0" quotePrefix="1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10" fillId="13" borderId="8" xfId="0" applyFont="1" applyFill="1" applyBorder="1" applyAlignment="1">
      <alignment horizontal="center" vertical="top" wrapText="1"/>
    </xf>
    <xf numFmtId="0" fontId="10" fillId="0" borderId="9" xfId="0" applyFont="1" applyBorder="1" applyAlignment="1">
      <alignment horizontal="center" vertical="top" wrapText="1"/>
    </xf>
    <xf numFmtId="0" fontId="51" fillId="0" borderId="51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52" fillId="0" borderId="4" xfId="0" applyFont="1" applyBorder="1" applyAlignment="1">
      <alignment horizontal="left" vertical="top" wrapText="1"/>
    </xf>
    <xf numFmtId="0" fontId="0" fillId="0" borderId="4" xfId="0" applyFont="1" applyBorder="1" applyAlignment="1">
      <alignment horizontal="center" vertical="top" wrapText="1"/>
    </xf>
    <xf numFmtId="49" fontId="10" fillId="0" borderId="9" xfId="0" applyNumberFormat="1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0" fillId="0" borderId="8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0" fillId="0" borderId="8" xfId="0" applyFont="1" applyBorder="1" applyAlignment="1">
      <alignment horizontal="center" vertical="top" wrapText="1"/>
    </xf>
    <xf numFmtId="0" fontId="0" fillId="0" borderId="9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 vertical="top" wrapText="1"/>
    </xf>
    <xf numFmtId="0" fontId="10" fillId="0" borderId="9" xfId="0" applyFont="1" applyBorder="1" applyAlignment="1">
      <alignment horizontal="left" vertical="center"/>
    </xf>
    <xf numFmtId="49" fontId="27" fillId="17" borderId="8" xfId="0" applyNumberFormat="1" applyFont="1" applyFill="1" applyBorder="1" applyAlignment="1">
      <alignment horizontal="center" vertical="top" wrapText="1"/>
    </xf>
    <xf numFmtId="0" fontId="27" fillId="7" borderId="8" xfId="0" applyFont="1" applyFill="1" applyBorder="1" applyAlignment="1">
      <alignment horizontal="center" vertical="top" wrapText="1"/>
    </xf>
    <xf numFmtId="49" fontId="10" fillId="13" borderId="8" xfId="0" applyNumberFormat="1" applyFont="1" applyFill="1" applyBorder="1" applyAlignment="1">
      <alignment vertical="center" wrapText="1"/>
    </xf>
    <xf numFmtId="49" fontId="50" fillId="0" borderId="8" xfId="0" applyNumberFormat="1" applyFont="1" applyBorder="1" applyAlignment="1">
      <alignment vertical="center" wrapText="1"/>
    </xf>
    <xf numFmtId="0" fontId="53" fillId="0" borderId="8" xfId="0" applyFont="1" applyBorder="1" applyAlignment="1">
      <alignment horizontal="left" vertical="top" wrapText="1"/>
    </xf>
    <xf numFmtId="0" fontId="13" fillId="0" borderId="0" xfId="0" applyFont="1" applyAlignment="1">
      <alignment vertical="center" wrapText="1"/>
    </xf>
    <xf numFmtId="0" fontId="10" fillId="13" borderId="8" xfId="0" applyFont="1" applyFill="1" applyBorder="1" applyAlignment="1">
      <alignment vertical="center" wrapText="1"/>
    </xf>
    <xf numFmtId="0" fontId="54" fillId="0" borderId="8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49" fontId="49" fillId="0" borderId="8" xfId="0" applyNumberFormat="1" applyFont="1" applyBorder="1" applyAlignment="1">
      <alignment horizontal="center" vertical="center" wrapText="1"/>
    </xf>
    <xf numFmtId="49" fontId="10" fillId="0" borderId="8" xfId="0" applyNumberFormat="1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49" fontId="10" fillId="0" borderId="9" xfId="0" applyNumberFormat="1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27" fillId="0" borderId="4" xfId="0" applyFont="1" applyBorder="1" applyAlignment="1">
      <alignment horizontal="center" vertical="center"/>
    </xf>
    <xf numFmtId="49" fontId="13" fillId="0" borderId="9" xfId="0" applyNumberFormat="1" applyFont="1" applyBorder="1" applyAlignment="1">
      <alignment vertical="top" wrapText="1"/>
    </xf>
    <xf numFmtId="0" fontId="10" fillId="0" borderId="4" xfId="0" applyFont="1" applyBorder="1" applyAlignment="1">
      <alignment horizontal="left" vertical="center"/>
    </xf>
    <xf numFmtId="0" fontId="19" fillId="0" borderId="4" xfId="0" applyFont="1" applyBorder="1" applyAlignment="1">
      <alignment vertical="top" wrapText="1"/>
    </xf>
    <xf numFmtId="49" fontId="13" fillId="0" borderId="48" xfId="0" applyNumberFormat="1" applyFont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6" fillId="12" borderId="55" xfId="0" applyFont="1" applyFill="1" applyBorder="1" applyAlignment="1">
      <alignment horizontal="center" vertical="top" wrapText="1"/>
    </xf>
    <xf numFmtId="0" fontId="6" fillId="12" borderId="8" xfId="0" applyFont="1" applyFill="1" applyBorder="1" applyAlignment="1">
      <alignment horizontal="center" vertical="top" wrapText="1"/>
    </xf>
    <xf numFmtId="0" fontId="5" fillId="12" borderId="8" xfId="0" applyFont="1" applyFill="1" applyBorder="1" applyAlignment="1">
      <alignment horizontal="center" vertical="top" wrapText="1"/>
    </xf>
    <xf numFmtId="49" fontId="8" fillId="13" borderId="8" xfId="0" applyNumberFormat="1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49" fontId="55" fillId="0" borderId="8" xfId="0" applyNumberFormat="1" applyFont="1" applyBorder="1" applyAlignment="1">
      <alignment horizontal="center" vertical="center" wrapText="1"/>
    </xf>
    <xf numFmtId="49" fontId="50" fillId="0" borderId="8" xfId="0" applyNumberFormat="1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left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8" xfId="0" quotePrefix="1" applyFont="1" applyBorder="1" applyAlignment="1">
      <alignment horizontal="left" vertical="top" wrapText="1"/>
    </xf>
    <xf numFmtId="0" fontId="10" fillId="13" borderId="8" xfId="0" applyFont="1" applyFill="1" applyBorder="1" applyAlignment="1">
      <alignment vertical="top" wrapText="1"/>
    </xf>
    <xf numFmtId="49" fontId="55" fillId="0" borderId="8" xfId="0" applyNumberFormat="1" applyFont="1" applyBorder="1" applyAlignment="1">
      <alignment vertical="top" wrapText="1"/>
    </xf>
    <xf numFmtId="49" fontId="50" fillId="0" borderId="8" xfId="0" applyNumberFormat="1" applyFont="1" applyBorder="1" applyAlignment="1">
      <alignment vertical="top" wrapText="1"/>
    </xf>
    <xf numFmtId="49" fontId="10" fillId="0" borderId="8" xfId="0" applyNumberFormat="1" applyFont="1" applyBorder="1" applyAlignment="1">
      <alignment vertical="top" wrapText="1"/>
    </xf>
    <xf numFmtId="0" fontId="56" fillId="0" borderId="23" xfId="0" applyFont="1" applyBorder="1" applyAlignment="1">
      <alignment horizontal="left" vertical="top" wrapText="1"/>
    </xf>
    <xf numFmtId="49" fontId="10" fillId="13" borderId="8" xfId="0" applyNumberFormat="1" applyFont="1" applyFill="1" applyBorder="1" applyAlignment="1">
      <alignment vertical="top" wrapText="1"/>
    </xf>
    <xf numFmtId="0" fontId="0" fillId="0" borderId="0" xfId="0" applyFont="1" applyAlignment="1"/>
    <xf numFmtId="0" fontId="3" fillId="0" borderId="56" xfId="0" applyFont="1" applyBorder="1" applyAlignment="1"/>
    <xf numFmtId="0" fontId="3" fillId="0" borderId="67" xfId="0" applyFont="1" applyBorder="1" applyAlignment="1"/>
    <xf numFmtId="0" fontId="1" fillId="0" borderId="71" xfId="0" applyFont="1" applyBorder="1" applyAlignment="1">
      <alignment horizontal="center" vertical="top" wrapText="1"/>
    </xf>
    <xf numFmtId="0" fontId="1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14" fillId="3" borderId="14" xfId="0" applyFont="1" applyFill="1" applyBorder="1" applyAlignment="1">
      <alignment horizontal="left" vertical="center" wrapText="1"/>
    </xf>
    <xf numFmtId="0" fontId="3" fillId="0" borderId="16" xfId="0" applyFont="1" applyBorder="1"/>
    <xf numFmtId="0" fontId="3" fillId="0" borderId="20" xfId="0" applyFont="1" applyBorder="1"/>
    <xf numFmtId="0" fontId="22" fillId="3" borderId="14" xfId="0" applyFont="1" applyFill="1" applyBorder="1" applyAlignment="1">
      <alignment vertical="center" wrapText="1"/>
    </xf>
    <xf numFmtId="49" fontId="10" fillId="14" borderId="59" xfId="0" applyNumberFormat="1" applyFont="1" applyFill="1" applyBorder="1" applyAlignment="1">
      <alignment horizontal="center" vertical="center" wrapText="1"/>
    </xf>
    <xf numFmtId="0" fontId="3" fillId="0" borderId="56" xfId="0" applyFont="1" applyBorder="1"/>
    <xf numFmtId="0" fontId="3" fillId="0" borderId="67" xfId="0" applyFont="1" applyBorder="1"/>
    <xf numFmtId="0" fontId="10" fillId="0" borderId="59" xfId="0" applyFont="1" applyBorder="1" applyAlignment="1">
      <alignment horizontal="center" vertical="center" wrapText="1"/>
    </xf>
    <xf numFmtId="49" fontId="32" fillId="13" borderId="70" xfId="0" applyNumberFormat="1" applyFont="1" applyFill="1" applyBorder="1" applyAlignment="1">
      <alignment horizontal="center" vertical="center" wrapText="1"/>
    </xf>
    <xf numFmtId="49" fontId="32" fillId="13" borderId="56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19" fillId="0" borderId="59" xfId="0" applyFont="1" applyBorder="1" applyAlignment="1">
      <alignment horizontal="center" vertical="center" wrapText="1"/>
    </xf>
    <xf numFmtId="0" fontId="18" fillId="0" borderId="59" xfId="0" applyFont="1" applyBorder="1" applyAlignment="1">
      <alignment horizontal="center" vertical="center" wrapText="1"/>
    </xf>
    <xf numFmtId="0" fontId="10" fillId="0" borderId="59" xfId="0" applyFont="1" applyBorder="1" applyAlignment="1">
      <alignment horizontal="left" vertical="center" wrapText="1"/>
    </xf>
    <xf numFmtId="49" fontId="10" fillId="0" borderId="56" xfId="0" applyNumberFormat="1" applyFont="1" applyBorder="1" applyAlignment="1">
      <alignment horizontal="center" vertical="center" wrapText="1"/>
    </xf>
    <xf numFmtId="0" fontId="10" fillId="0" borderId="56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3" fillId="0" borderId="2" xfId="0" applyFont="1" applyBorder="1"/>
    <xf numFmtId="0" fontId="3" fillId="0" borderId="3" xfId="0" applyFont="1" applyBorder="1"/>
    <xf numFmtId="0" fontId="6" fillId="3" borderId="5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9" xfId="0" applyFont="1" applyBorder="1"/>
    <xf numFmtId="0" fontId="8" fillId="0" borderId="0" xfId="0" applyFont="1" applyAlignment="1">
      <alignment horizontal="left" vertical="center"/>
    </xf>
    <xf numFmtId="0" fontId="0" fillId="0" borderId="0" xfId="0" applyFont="1" applyAlignment="1"/>
    <xf numFmtId="0" fontId="25" fillId="4" borderId="24" xfId="0" applyFont="1" applyFill="1" applyBorder="1" applyAlignment="1">
      <alignment horizontal="center" vertical="center" wrapText="1"/>
    </xf>
    <xf numFmtId="0" fontId="3" fillId="0" borderId="26" xfId="0" applyFont="1" applyBorder="1"/>
    <xf numFmtId="0" fontId="3" fillId="0" borderId="7" xfId="0" applyFont="1" applyBorder="1"/>
    <xf numFmtId="0" fontId="3" fillId="0" borderId="28" xfId="0" applyFont="1" applyBorder="1"/>
    <xf numFmtId="0" fontId="3" fillId="0" borderId="29" xfId="0" applyFont="1" applyBorder="1"/>
    <xf numFmtId="0" fontId="3" fillId="0" borderId="30" xfId="0" applyFont="1" applyBorder="1"/>
    <xf numFmtId="49" fontId="32" fillId="0" borderId="56" xfId="0" applyNumberFormat="1" applyFont="1" applyBorder="1" applyAlignment="1">
      <alignment horizontal="center" vertical="center" wrapText="1"/>
    </xf>
    <xf numFmtId="49" fontId="33" fillId="0" borderId="56" xfId="0" applyNumberFormat="1" applyFont="1" applyBorder="1" applyAlignment="1">
      <alignment horizontal="center" vertical="center" wrapText="1"/>
    </xf>
    <xf numFmtId="0" fontId="28" fillId="4" borderId="27" xfId="0" applyFont="1" applyFill="1" applyBorder="1" applyAlignment="1">
      <alignment horizontal="left" vertical="center" wrapText="1"/>
    </xf>
    <xf numFmtId="49" fontId="6" fillId="10" borderId="37" xfId="0" applyNumberFormat="1" applyFont="1" applyFill="1" applyBorder="1" applyAlignment="1">
      <alignment horizontal="center" vertical="center" wrapText="1"/>
    </xf>
    <xf numFmtId="0" fontId="3" fillId="0" borderId="34" xfId="0" applyFont="1" applyBorder="1"/>
    <xf numFmtId="0" fontId="3" fillId="0" borderId="35" xfId="0" applyFont="1" applyBorder="1"/>
    <xf numFmtId="0" fontId="28" fillId="8" borderId="1" xfId="0" applyFont="1" applyFill="1" applyBorder="1" applyAlignment="1">
      <alignment horizontal="center" vertical="center" wrapText="1"/>
    </xf>
    <xf numFmtId="0" fontId="19" fillId="0" borderId="60" xfId="0" applyFont="1" applyBorder="1" applyAlignment="1">
      <alignment horizontal="left" vertical="center" wrapText="1"/>
    </xf>
    <xf numFmtId="0" fontId="3" fillId="0" borderId="66" xfId="0" applyFont="1" applyBorder="1"/>
    <xf numFmtId="0" fontId="26" fillId="11" borderId="43" xfId="0" applyFont="1" applyFill="1" applyBorder="1" applyAlignment="1">
      <alignment horizontal="center" vertical="center" wrapText="1"/>
    </xf>
    <xf numFmtId="0" fontId="3" fillId="0" borderId="38" xfId="0" applyFont="1" applyBorder="1"/>
    <xf numFmtId="0" fontId="3" fillId="0" borderId="44" xfId="0" applyFont="1" applyBorder="1"/>
    <xf numFmtId="0" fontId="6" fillId="9" borderId="33" xfId="0" applyFont="1" applyFill="1" applyBorder="1" applyAlignment="1">
      <alignment horizontal="center" vertical="center"/>
    </xf>
    <xf numFmtId="0" fontId="3" fillId="0" borderId="22" xfId="0" applyFont="1" applyBorder="1"/>
    <xf numFmtId="0" fontId="3" fillId="0" borderId="23" xfId="0" applyFont="1" applyBorder="1"/>
    <xf numFmtId="0" fontId="25" fillId="4" borderId="36" xfId="0" applyFont="1" applyFill="1" applyBorder="1" applyAlignment="1">
      <alignment horizontal="center" vertical="center" wrapText="1"/>
    </xf>
    <xf numFmtId="0" fontId="3" fillId="0" borderId="40" xfId="0" applyFont="1" applyBorder="1"/>
    <xf numFmtId="49" fontId="10" fillId="0" borderId="59" xfId="0" applyNumberFormat="1" applyFont="1" applyBorder="1" applyAlignment="1">
      <alignment horizontal="center" vertical="center" wrapText="1"/>
    </xf>
    <xf numFmtId="49" fontId="33" fillId="0" borderId="59" xfId="0" applyNumberFormat="1" applyFont="1" applyBorder="1" applyAlignment="1">
      <alignment horizontal="center" vertical="center" wrapText="1"/>
    </xf>
    <xf numFmtId="49" fontId="32" fillId="0" borderId="59" xfId="0" applyNumberFormat="1" applyFont="1" applyBorder="1" applyAlignment="1">
      <alignment horizontal="center" vertical="center" wrapText="1"/>
    </xf>
    <xf numFmtId="0" fontId="19" fillId="0" borderId="59" xfId="0" quotePrefix="1" applyFont="1" applyBorder="1" applyAlignment="1">
      <alignment horizontal="left" vertical="center" wrapText="1"/>
    </xf>
    <xf numFmtId="0" fontId="19" fillId="0" borderId="59" xfId="0" applyFont="1" applyBorder="1" applyAlignment="1">
      <alignment horizontal="left" vertical="center" wrapText="1"/>
    </xf>
    <xf numFmtId="0" fontId="33" fillId="0" borderId="59" xfId="0" applyFont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/>
    </xf>
    <xf numFmtId="0" fontId="26" fillId="8" borderId="3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3" fillId="0" borderId="12" xfId="0" applyFont="1" applyBorder="1"/>
    <xf numFmtId="0" fontId="3" fillId="0" borderId="21" xfId="0" applyFont="1" applyBorder="1"/>
    <xf numFmtId="0" fontId="7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7" fillId="0" borderId="48" xfId="0" applyFont="1" applyBorder="1" applyAlignment="1">
      <alignment horizontal="center" vertical="center" wrapText="1"/>
    </xf>
    <xf numFmtId="0" fontId="3" fillId="0" borderId="57" xfId="0" applyFont="1" applyBorder="1"/>
    <xf numFmtId="0" fontId="7" fillId="9" borderId="1" xfId="0" applyFont="1" applyFill="1" applyBorder="1" applyAlignment="1">
      <alignment horizontal="center" vertical="top" wrapText="1"/>
    </xf>
    <xf numFmtId="0" fontId="26" fillId="8" borderId="1" xfId="0" applyFont="1" applyFill="1" applyBorder="1" applyAlignment="1">
      <alignment horizontal="center" vertical="top" wrapText="1"/>
    </xf>
    <xf numFmtId="49" fontId="7" fillId="13" borderId="4" xfId="0" applyNumberFormat="1" applyFont="1" applyFill="1" applyBorder="1" applyAlignment="1">
      <alignment horizontal="center" vertical="center" wrapText="1"/>
    </xf>
    <xf numFmtId="49" fontId="7" fillId="7" borderId="61" xfId="0" applyNumberFormat="1" applyFont="1" applyFill="1" applyBorder="1" applyAlignment="1">
      <alignment horizontal="center" vertical="top" wrapText="1"/>
    </xf>
    <xf numFmtId="0" fontId="3" fillId="0" borderId="62" xfId="0" applyFont="1" applyBorder="1"/>
    <xf numFmtId="0" fontId="3" fillId="0" borderId="63" xfId="0" applyFont="1" applyBorder="1"/>
    <xf numFmtId="49" fontId="7" fillId="13" borderId="48" xfId="0" applyNumberFormat="1" applyFont="1" applyFill="1" applyBorder="1" applyAlignment="1">
      <alignment horizontal="center" vertical="center" wrapText="1"/>
    </xf>
    <xf numFmtId="0" fontId="3" fillId="0" borderId="49" xfId="0" applyFont="1" applyBorder="1"/>
    <xf numFmtId="0" fontId="3" fillId="0" borderId="51" xfId="0" applyFont="1" applyBorder="1"/>
    <xf numFmtId="0" fontId="3" fillId="0" borderId="41" xfId="0" applyFont="1" applyBorder="1"/>
    <xf numFmtId="0" fontId="3" fillId="0" borderId="58" xfId="0" applyFont="1" applyBorder="1"/>
    <xf numFmtId="49" fontId="7" fillId="7" borderId="24" xfId="0" applyNumberFormat="1" applyFont="1" applyFill="1" applyBorder="1" applyAlignment="1">
      <alignment horizontal="center" vertical="center" wrapText="1"/>
    </xf>
    <xf numFmtId="0" fontId="3" fillId="0" borderId="39" xfId="0" applyFont="1" applyBorder="1"/>
    <xf numFmtId="0" fontId="3" fillId="0" borderId="42" xfId="0" applyFont="1" applyBorder="1"/>
    <xf numFmtId="49" fontId="38" fillId="0" borderId="4" xfId="0" applyNumberFormat="1" applyFont="1" applyBorder="1" applyAlignment="1">
      <alignment horizontal="center" vertical="center" wrapText="1"/>
    </xf>
    <xf numFmtId="49" fontId="27" fillId="0" borderId="4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27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top" wrapText="1"/>
    </xf>
    <xf numFmtId="49" fontId="7" fillId="7" borderId="9" xfId="0" applyNumberFormat="1" applyFont="1" applyFill="1" applyBorder="1" applyAlignment="1">
      <alignment horizontal="center" vertical="top" wrapText="1"/>
    </xf>
    <xf numFmtId="0" fontId="3" fillId="0" borderId="68" xfId="0" applyFont="1" applyBorder="1"/>
    <xf numFmtId="0" fontId="26" fillId="8" borderId="32" xfId="0" applyFont="1" applyFill="1" applyBorder="1" applyAlignment="1">
      <alignment horizontal="center" vertical="top" wrapText="1"/>
    </xf>
    <xf numFmtId="49" fontId="6" fillId="10" borderId="9" xfId="0" applyNumberFormat="1" applyFont="1" applyFill="1" applyBorder="1" applyAlignment="1">
      <alignment horizontal="center" vertical="center" wrapText="1"/>
    </xf>
    <xf numFmtId="49" fontId="50" fillId="0" borderId="4" xfId="0" applyNumberFormat="1" applyFont="1" applyBorder="1" applyAlignment="1">
      <alignment horizontal="center" vertical="center" wrapText="1"/>
    </xf>
    <xf numFmtId="49" fontId="49" fillId="0" borderId="4" xfId="0" applyNumberFormat="1" applyFont="1" applyBorder="1" applyAlignment="1">
      <alignment horizontal="center" vertical="center" wrapText="1"/>
    </xf>
    <xf numFmtId="0" fontId="50" fillId="0" borderId="4" xfId="0" applyFont="1" applyBorder="1" applyAlignment="1">
      <alignment horizontal="center" vertical="center" wrapText="1"/>
    </xf>
    <xf numFmtId="49" fontId="10" fillId="0" borderId="4" xfId="0" applyNumberFormat="1" applyFont="1" applyBorder="1" applyAlignment="1">
      <alignment vertical="center" wrapText="1"/>
    </xf>
    <xf numFmtId="49" fontId="10" fillId="0" borderId="4" xfId="0" applyNumberFormat="1" applyFont="1" applyBorder="1" applyAlignment="1">
      <alignment horizontal="center" vertical="center" wrapText="1"/>
    </xf>
    <xf numFmtId="49" fontId="27" fillId="7" borderId="9" xfId="0" applyNumberFormat="1" applyFont="1" applyFill="1" applyBorder="1" applyAlignment="1">
      <alignment horizontal="center" vertical="top" wrapText="1"/>
    </xf>
    <xf numFmtId="0" fontId="26" fillId="8" borderId="37" xfId="0" applyFont="1" applyFill="1" applyBorder="1" applyAlignment="1">
      <alignment horizontal="center" vertical="top" wrapText="1"/>
    </xf>
    <xf numFmtId="0" fontId="0" fillId="0" borderId="4" xfId="0" applyFont="1" applyBorder="1" applyAlignment="1">
      <alignment horizontal="center" vertical="top" wrapText="1"/>
    </xf>
    <xf numFmtId="49" fontId="8" fillId="0" borderId="4" xfId="0" applyNumberFormat="1" applyFont="1" applyBorder="1" applyAlignment="1">
      <alignment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8" fillId="0" borderId="48" xfId="0" applyFont="1" applyBorder="1" applyAlignment="1">
      <alignment vertical="center" wrapText="1"/>
    </xf>
    <xf numFmtId="49" fontId="27" fillId="7" borderId="37" xfId="0" applyNumberFormat="1" applyFont="1" applyFill="1" applyBorder="1" applyAlignment="1">
      <alignment horizontal="center" vertical="top" wrapText="1"/>
    </xf>
    <xf numFmtId="0" fontId="3" fillId="0" borderId="69" xfId="0" applyFont="1" applyBorder="1"/>
    <xf numFmtId="0" fontId="27" fillId="0" borderId="4" xfId="0" applyFont="1" applyBorder="1" applyAlignment="1">
      <alignment horizontal="center" vertical="center"/>
    </xf>
  </cellXfs>
  <cellStyles count="1">
    <cellStyle name="常规" xfId="0" builtinId="0"/>
  </cellStyles>
  <dxfs count="92">
    <dxf>
      <fill>
        <patternFill patternType="solid">
          <fgColor rgb="FFFCE8B2"/>
          <bgColor rgb="FFFCE8B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1C4587"/>
          <bgColor rgb="FF1C4587"/>
        </patternFill>
      </fill>
    </dxf>
    <dxf>
      <fill>
        <patternFill patternType="solid">
          <fgColor rgb="FFDD7E6B"/>
          <bgColor rgb="FFDD7E6B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1C4587"/>
          <bgColor rgb="FF1C4587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9" Type="http://customschemas.google.com/relationships/workbookmetadata" Target="metadata"/><Relationship Id="rId12" Type="http://schemas.openxmlformats.org/officeDocument/2006/relationships/sharedStrings" Target="sharedStrings.xml"/><Relationship Id="rId13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Relationship Id="rId3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114301</xdr:rowOff>
    </xdr:from>
    <xdr:to>
      <xdr:col>1</xdr:col>
      <xdr:colOff>1549400</xdr:colOff>
      <xdr:row>0</xdr:row>
      <xdr:rowOff>663744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14301"/>
          <a:ext cx="2540000" cy="5494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622300</xdr:colOff>
      <xdr:row>7</xdr:row>
      <xdr:rowOff>6350</xdr:rowOff>
    </xdr:from>
    <xdr:ext cx="2705100" cy="2127250"/>
    <xdr:pic>
      <xdr:nvPicPr>
        <xdr:cNvPr id="2" name="image2.png" title="图片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67300" y="1466850"/>
          <a:ext cx="2705100" cy="21272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1581150</xdr:colOff>
      <xdr:row>7</xdr:row>
      <xdr:rowOff>22225</xdr:rowOff>
    </xdr:from>
    <xdr:ext cx="2133600" cy="2266950"/>
    <xdr:pic>
      <xdr:nvPicPr>
        <xdr:cNvPr id="3" name="image5.png" title="图片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121650" y="1482725"/>
          <a:ext cx="2133600" cy="22669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12700</xdr:colOff>
      <xdr:row>7</xdr:row>
      <xdr:rowOff>82550</xdr:rowOff>
    </xdr:from>
    <xdr:ext cx="4851400" cy="2089150"/>
    <xdr:pic>
      <xdr:nvPicPr>
        <xdr:cNvPr id="4" name="image4.png" title="图片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700" y="1543050"/>
          <a:ext cx="4851400" cy="20891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152400</xdr:colOff>
      <xdr:row>0</xdr:row>
      <xdr:rowOff>50801</xdr:rowOff>
    </xdr:from>
    <xdr:to>
      <xdr:col>1</xdr:col>
      <xdr:colOff>279400</xdr:colOff>
      <xdr:row>0</xdr:row>
      <xdr:rowOff>394203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50801"/>
          <a:ext cx="1587500" cy="3434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1343025</xdr:colOff>
      <xdr:row>2</xdr:row>
      <xdr:rowOff>95250</xdr:rowOff>
    </xdr:from>
    <xdr:ext cx="2914650" cy="2838450"/>
    <xdr:pic>
      <xdr:nvPicPr>
        <xdr:cNvPr id="2" name="image3.png" title="图片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1657350</xdr:colOff>
      <xdr:row>2</xdr:row>
      <xdr:rowOff>47625</xdr:rowOff>
    </xdr:from>
    <xdr:ext cx="7286625" cy="1295400"/>
    <xdr:pic>
      <xdr:nvPicPr>
        <xdr:cNvPr id="3" name="image1.png" title="图片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88900</xdr:colOff>
      <xdr:row>0</xdr:row>
      <xdr:rowOff>63500</xdr:rowOff>
    </xdr:from>
    <xdr:to>
      <xdr:col>1</xdr:col>
      <xdr:colOff>165100</xdr:colOff>
      <xdr:row>0</xdr:row>
      <xdr:rowOff>406902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" y="63500"/>
          <a:ext cx="1587500" cy="3434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533400</xdr:colOff>
      <xdr:row>2</xdr:row>
      <xdr:rowOff>28575</xdr:rowOff>
    </xdr:from>
    <xdr:ext cx="2733675" cy="3276600"/>
    <xdr:pic>
      <xdr:nvPicPr>
        <xdr:cNvPr id="2" name="image6.png" title="图片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219075</xdr:colOff>
      <xdr:row>6</xdr:row>
      <xdr:rowOff>180975</xdr:rowOff>
    </xdr:from>
    <xdr:ext cx="5686425" cy="1476375"/>
    <xdr:pic>
      <xdr:nvPicPr>
        <xdr:cNvPr id="3" name="image8.png" title="图片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165100</xdr:colOff>
      <xdr:row>0</xdr:row>
      <xdr:rowOff>50800</xdr:rowOff>
    </xdr:from>
    <xdr:to>
      <xdr:col>0</xdr:col>
      <xdr:colOff>1752600</xdr:colOff>
      <xdr:row>0</xdr:row>
      <xdr:rowOff>394202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00" y="50800"/>
          <a:ext cx="1587500" cy="34340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981075</xdr:colOff>
      <xdr:row>2</xdr:row>
      <xdr:rowOff>57150</xdr:rowOff>
    </xdr:from>
    <xdr:ext cx="2914650" cy="2495550"/>
    <xdr:pic>
      <xdr:nvPicPr>
        <xdr:cNvPr id="2" name="image7.png" title="图片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527050</xdr:colOff>
      <xdr:row>6</xdr:row>
      <xdr:rowOff>53975</xdr:rowOff>
    </xdr:from>
    <xdr:ext cx="5819775" cy="1752600"/>
    <xdr:pic>
      <xdr:nvPicPr>
        <xdr:cNvPr id="3" name="image11.png" title="图片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825750" y="1311275"/>
          <a:ext cx="5819775" cy="17526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127000</xdr:colOff>
      <xdr:row>0</xdr:row>
      <xdr:rowOff>50800</xdr:rowOff>
    </xdr:from>
    <xdr:to>
      <xdr:col>1</xdr:col>
      <xdr:colOff>469900</xdr:colOff>
      <xdr:row>0</xdr:row>
      <xdr:rowOff>394202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50800"/>
          <a:ext cx="1587500" cy="34340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876300</xdr:colOff>
      <xdr:row>5</xdr:row>
      <xdr:rowOff>57150</xdr:rowOff>
    </xdr:from>
    <xdr:ext cx="4933950" cy="1685925"/>
    <xdr:pic>
      <xdr:nvPicPr>
        <xdr:cNvPr id="2" name="image10.png" title="图片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581025</xdr:colOff>
      <xdr:row>3</xdr:row>
      <xdr:rowOff>76200</xdr:rowOff>
    </xdr:from>
    <xdr:ext cx="2733675" cy="2047875"/>
    <xdr:pic>
      <xdr:nvPicPr>
        <xdr:cNvPr id="3" name="image9.png" title="图片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101600</xdr:colOff>
      <xdr:row>0</xdr:row>
      <xdr:rowOff>63500</xdr:rowOff>
    </xdr:from>
    <xdr:to>
      <xdr:col>1</xdr:col>
      <xdr:colOff>444500</xdr:colOff>
      <xdr:row>0</xdr:row>
      <xdr:rowOff>406902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" y="63500"/>
          <a:ext cx="1587500" cy="3434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rowingio.com/docs/sdk-integration/android-sdk/android-sdk" TargetMode="External"/><Relationship Id="rId4" Type="http://schemas.openxmlformats.org/officeDocument/2006/relationships/hyperlink" Target="https://docs.growingio.com/docs/sdk-integration/wei-xin-xiao-cheng-xu-sdk/wei-xin-xiao-cheng-xu-sdk-sdk-ban-ben1.9.1/" TargetMode="External"/><Relationship Id="rId5" Type="http://schemas.openxmlformats.org/officeDocument/2006/relationships/drawing" Target="../drawings/drawing2.xml"/><Relationship Id="rId1" Type="http://schemas.openxmlformats.org/officeDocument/2006/relationships/hyperlink" Target="https://docs.growingio.com/docs/sdk-integration/web-js-sdk/web-js-sdk-api" TargetMode="External"/><Relationship Id="rId2" Type="http://schemas.openxmlformats.org/officeDocument/2006/relationships/hyperlink" Target="https://docs.growingio.com/docs/sdk-integration/ios-sdk-1/ios-sdk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rowingio.com/docs/sdk-integration/android-sdk/android-sdk" TargetMode="External"/><Relationship Id="rId4" Type="http://schemas.openxmlformats.org/officeDocument/2006/relationships/hyperlink" Target="https://docs.growingio.com/docs/sdk-integration/wei-xin-xiao-cheng-xu-sdk/wei-xin-xiao-cheng-xu-sdk-sdk-ban-ben1.9.1/" TargetMode="External"/><Relationship Id="rId5" Type="http://schemas.openxmlformats.org/officeDocument/2006/relationships/hyperlink" Target="https://docs.growingio.com/docs/sdk-integration/web-js-sdk/web-js-sdk-api" TargetMode="External"/><Relationship Id="rId6" Type="http://schemas.openxmlformats.org/officeDocument/2006/relationships/hyperlink" Target="https://docs.growingio.com/docs/sdk-integration/ios-sdk-1/ios-sdk" TargetMode="External"/><Relationship Id="rId7" Type="http://schemas.openxmlformats.org/officeDocument/2006/relationships/hyperlink" Target="https://docs.growingio.com/docs/sdk-integration/android-sdk/android-sdk" TargetMode="External"/><Relationship Id="rId8" Type="http://schemas.openxmlformats.org/officeDocument/2006/relationships/hyperlink" Target="https://docs.growingio.com/docs/sdk-integration/wei-xin-xiao-cheng-xu-sdk/wei-xin-xiao-cheng-xu-sdk-sdk-ban-ben1.9.1/" TargetMode="External"/><Relationship Id="rId9" Type="http://schemas.openxmlformats.org/officeDocument/2006/relationships/hyperlink" Target="https://docs.growingio.com/docs/sdk-integration/wei-xin-xiao-cheng-xu-sdk/wei-xin-xiao-cheng-xu-sdk-sdk-ban-ben1.9.1/" TargetMode="External"/><Relationship Id="rId10" Type="http://schemas.openxmlformats.org/officeDocument/2006/relationships/drawing" Target="../drawings/drawing3.xml"/><Relationship Id="rId1" Type="http://schemas.openxmlformats.org/officeDocument/2006/relationships/hyperlink" Target="https://docs.growingio.com/docs/sdk-integration/web-js-sdk/web-js-sdk-api" TargetMode="External"/><Relationship Id="rId2" Type="http://schemas.openxmlformats.org/officeDocument/2006/relationships/hyperlink" Target="https://docs.growingio.com/docs/sdk-integration/ios-sdk-1/ios-sdk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rowingio.com/docs/sdk-integration/android-sdk/android-sdk" TargetMode="External"/><Relationship Id="rId4" Type="http://schemas.openxmlformats.org/officeDocument/2006/relationships/hyperlink" Target="https://docs.growingio.com/docs/sdk-integration/wei-xin-xiao-cheng-xu-sdk/wei-xin-xiao-cheng-xu-sdk-sdk-ban-ben1.9.1/" TargetMode="External"/><Relationship Id="rId5" Type="http://schemas.openxmlformats.org/officeDocument/2006/relationships/drawing" Target="../drawings/drawing4.xml"/><Relationship Id="rId1" Type="http://schemas.openxmlformats.org/officeDocument/2006/relationships/hyperlink" Target="https://docs.growingio.com/docs/sdk-integration/web-js-sdk/web-js-sdk-api" TargetMode="External"/><Relationship Id="rId2" Type="http://schemas.openxmlformats.org/officeDocument/2006/relationships/hyperlink" Target="https://docs.growingio.com/docs/sdk-integration/ios-sdk-1/ios-sdk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rowingio.com/docs/sdk-integration/android-sdk/android-sdk" TargetMode="External"/><Relationship Id="rId4" Type="http://schemas.openxmlformats.org/officeDocument/2006/relationships/hyperlink" Target="https://docs.growingio.com/docs/sdk-integration/wei-xin-xiao-cheng-xu-sdk/wei-xin-xiao-cheng-xu-sdk-sdk-ban-ben1.9.1/" TargetMode="External"/><Relationship Id="rId5" Type="http://schemas.openxmlformats.org/officeDocument/2006/relationships/drawing" Target="../drawings/drawing5.xml"/><Relationship Id="rId1" Type="http://schemas.openxmlformats.org/officeDocument/2006/relationships/hyperlink" Target="https://docs.growingio.com/docs/sdk-integration/web-js-sdk/web-js-sdk-api" TargetMode="External"/><Relationship Id="rId2" Type="http://schemas.openxmlformats.org/officeDocument/2006/relationships/hyperlink" Target="https://docs.growingio.com/docs/sdk-integration/ios-sdk-1/ios-sdk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rowingio.com/docs/sdk-integration/android-sdk/android-sdk" TargetMode="External"/><Relationship Id="rId4" Type="http://schemas.openxmlformats.org/officeDocument/2006/relationships/hyperlink" Target="https://docs.growingio.com/docs/sdk-integration/wei-xin-xiao-cheng-xu-sdk/wei-xin-xiao-cheng-xu-sdk-sdk-ban-ben1.9.1/" TargetMode="External"/><Relationship Id="rId5" Type="http://schemas.openxmlformats.org/officeDocument/2006/relationships/drawing" Target="../drawings/drawing6.xml"/><Relationship Id="rId1" Type="http://schemas.openxmlformats.org/officeDocument/2006/relationships/hyperlink" Target="https://docs.growingio.com/docs/sdk-integration/web-js-sdk/web-js-sdk-api" TargetMode="External"/><Relationship Id="rId2" Type="http://schemas.openxmlformats.org/officeDocument/2006/relationships/hyperlink" Target="https://docs.growingio.com/docs/sdk-integration/ios-sdk-1/ios-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Z999"/>
  <sheetViews>
    <sheetView workbookViewId="0">
      <selection activeCell="B30" sqref="B30"/>
    </sheetView>
  </sheetViews>
  <sheetFormatPr baseColWidth="10" defaultColWidth="14.5" defaultRowHeight="15" customHeight="1" x14ac:dyDescent="0.15"/>
  <cols>
    <col min="1" max="1" width="14.5" customWidth="1"/>
    <col min="2" max="2" width="85.83203125" customWidth="1"/>
    <col min="3" max="6" width="14.5" customWidth="1"/>
  </cols>
  <sheetData>
    <row r="1" spans="1:26" ht="53" customHeight="1" x14ac:dyDescent="0.15">
      <c r="A1" s="215"/>
      <c r="B1" s="215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.75" customHeight="1" x14ac:dyDescent="0.15">
      <c r="A2" s="216" t="s">
        <v>1</v>
      </c>
      <c r="B2" s="217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15">
      <c r="A3" s="14" t="s">
        <v>7</v>
      </c>
      <c r="B3" s="16" t="s">
        <v>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.75" customHeight="1" x14ac:dyDescent="0.15">
      <c r="A4" s="218" t="s">
        <v>10</v>
      </c>
      <c r="B4" s="16" t="s">
        <v>11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 x14ac:dyDescent="0.15">
      <c r="A5" s="219"/>
      <c r="B5" s="24" t="s">
        <v>13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15">
      <c r="A6" s="220"/>
      <c r="B6" s="16" t="s">
        <v>18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" x14ac:dyDescent="0.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" x14ac:dyDescent="0.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.75" customHeight="1" x14ac:dyDescent="0.15">
      <c r="A9" s="216" t="s">
        <v>19</v>
      </c>
      <c r="B9" s="21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" x14ac:dyDescent="0.15">
      <c r="A10" s="221" t="s">
        <v>20</v>
      </c>
      <c r="B10" s="33" t="str">
        <f>HYPERLINK("https://docs.growingio.com/docs/data-definition/custom-event/","埋点事件 + 事件级变量")</f>
        <v>埋点事件 + 事件级变量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" x14ac:dyDescent="0.15">
      <c r="A11" s="219"/>
      <c r="B11" s="33" t="str">
        <f>HYPERLINK("https://docs.growingio.com/docs/data-definition/user-variable/loginuserid","登录用户变量")</f>
        <v>登录用户变量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" x14ac:dyDescent="0.15">
      <c r="A12" s="219"/>
      <c r="B12" s="33" t="str">
        <f>HYPERLINK("https://docs.growingio.com/docs/data-definition/custom-event/convert-variable","转化变量")</f>
        <v>转化变量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" x14ac:dyDescent="0.15">
      <c r="A13" s="219"/>
      <c r="B13" s="33" t="str">
        <f>HYPERLINK("https://docs.growingio.com/docs/data-definition/page-variable/","页面级变量")</f>
        <v>页面级变量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" x14ac:dyDescent="0.15">
      <c r="A14" s="220"/>
      <c r="B14" s="33" t="str">
        <f>HYPERLINK("https://docs.growingio.com/docs/data-definition/user-variable/visituserid","访问用户变量")</f>
        <v>访问用户变量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" x14ac:dyDescent="0.15">
      <c r="A15" s="221" t="s">
        <v>26</v>
      </c>
      <c r="B15" s="33" t="str">
        <f>HYPERLINK("https://docs.growingio.com/docs/sdk-integration/web-js-sdk/web-js-sdk-api","前端：JS SDK")</f>
        <v>前端：JS SDK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" x14ac:dyDescent="0.15">
      <c r="A16" s="219"/>
      <c r="B16" s="33" t="str">
        <f>HYPERLINK("https://docs.growingio.com/docs/sdk-integration/android-sdk/android-sdk#zi-ding-yi-shi-jian-he-bian-liang-api","前端：Android SDK")</f>
        <v>前端：Android SDK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" x14ac:dyDescent="0.15">
      <c r="A17" s="219"/>
      <c r="B17" s="33" t="str">
        <f>HYPERLINK("https://docs.growingio.com/docs/sdk-integration/ios-sdk-1/ios-sdk#zi-ding-yi-shi-jian-he-bian-liang-api","前端： iOS SDK")</f>
        <v>前端： iOS SDK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" x14ac:dyDescent="0.15">
      <c r="A18" s="219"/>
      <c r="B18" s="33" t="str">
        <f>HYPERLINK("https://docs.growingio.com/docs/sdk-integration/mina-sdk/#zi-ding-yi-shi-jian-he-bian-liang","前端：微信小程序 SDK")</f>
        <v>前端：微信小程序 SDK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" x14ac:dyDescent="0.15">
      <c r="A19" s="219"/>
      <c r="B19" s="33" t="str">
        <f>HYPERLINK("https://docs.growingio.com/docs/sdk-integration/java_sdk","后端：Java 埋点 SDK（Beta）")</f>
        <v>后端：Java 埋点 SDK（Beta）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" x14ac:dyDescent="0.15">
      <c r="A20" s="219"/>
      <c r="B20" s="33" t="str">
        <f>HYPERLINK("https://docs.growingio.com/docs/sdk-integration/php_sdk","后端：PHP 埋点 SDK（Beta）")</f>
        <v>后端：PHP 埋点 SDK（Beta）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" x14ac:dyDescent="0.15">
      <c r="A21" s="220"/>
      <c r="B21" s="33" t="str">
        <f>HYPERLINK("https://docs.growingio.com/docs/api/user-property-upload","后端：用户变量上传 API")</f>
        <v>后端：用户变量上传 API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" x14ac:dyDescent="0.15">
      <c r="A22" s="221" t="s">
        <v>32</v>
      </c>
      <c r="B22" s="33" t="str">
        <f>HYPERLINK("https://docs.growingio.com/docs/sdk-integration/growingio-debugger/#growingio-web-debugger","PC、M 端数据验证 - Web Debugger")</f>
        <v>PC、M 端数据验证 - Web Debugger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" x14ac:dyDescent="0.15">
      <c r="A23" s="219"/>
      <c r="B23" s="33" t="str">
        <f>HYPERLINK("https://docs.growingio.com/docs/sdk-integration/growingio-debugger/#growingio-mobile-debugger","iOS、Android 数据验证 - Mobile Debugger")</f>
        <v>iOS、Android 数据验证 - Mobile Debugger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" x14ac:dyDescent="0.15">
      <c r="A24" s="219"/>
      <c r="B24" s="33" t="str">
        <f>HYPERLINK("https://docs.growingio.com/docs/sdk-integration/growingio-debugger/#growingio-minidebugger","微信小程序数据验证")</f>
        <v>微信小程序数据验证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" x14ac:dyDescent="0.15">
      <c r="A25" s="220"/>
      <c r="B25" s="33" t="str">
        <f>HYPERLINK("https://docs.growingio.com/docs/sdk-integration/growingio-debugger/best-practice","数据验证最佳实践")</f>
        <v>数据验证最佳实践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7">
    <mergeCell ref="A1:B1"/>
    <mergeCell ref="A2:B2"/>
    <mergeCell ref="A4:A6"/>
    <mergeCell ref="A9:B9"/>
    <mergeCell ref="A22:A25"/>
    <mergeCell ref="A10:A14"/>
    <mergeCell ref="A15:A21"/>
  </mergeCells>
  <phoneticPr fontId="70" type="noConversion"/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0"/>
  <sheetViews>
    <sheetView workbookViewId="0">
      <selection activeCell="D3" sqref="D3"/>
    </sheetView>
  </sheetViews>
  <sheetFormatPr baseColWidth="10" defaultColWidth="14.5" defaultRowHeight="15" customHeight="1" x14ac:dyDescent="0.15"/>
  <cols>
    <col min="1" max="1" width="19.1640625" customWidth="1"/>
    <col min="2" max="2" width="21.83203125" customWidth="1"/>
    <col min="3" max="4" width="8.6640625" customWidth="1"/>
    <col min="5" max="5" width="12" customWidth="1"/>
    <col min="6" max="6" width="8.6640625" customWidth="1"/>
    <col min="7" max="7" width="14" hidden="1" customWidth="1"/>
    <col min="8" max="8" width="6.83203125" customWidth="1"/>
    <col min="9" max="9" width="24" customWidth="1"/>
    <col min="10" max="10" width="16.33203125" customWidth="1"/>
    <col min="11" max="12" width="18.83203125" customWidth="1"/>
    <col min="13" max="13" width="11.5" customWidth="1"/>
    <col min="14" max="14" width="17.33203125" customWidth="1"/>
    <col min="15" max="15" width="19.83203125" customWidth="1"/>
    <col min="16" max="16" width="8.6640625" customWidth="1"/>
    <col min="17" max="17" width="12.33203125" customWidth="1"/>
    <col min="18" max="18" width="12.6640625" hidden="1" customWidth="1"/>
    <col min="19" max="24" width="18.83203125" hidden="1" customWidth="1"/>
    <col min="25" max="25" width="27.5" customWidth="1"/>
    <col min="26" max="27" width="32.33203125" customWidth="1"/>
    <col min="28" max="28" width="31" customWidth="1"/>
    <col min="29" max="29" width="33" customWidth="1"/>
    <col min="30" max="30" width="41.5" customWidth="1"/>
    <col min="31" max="31" width="20.1640625" customWidth="1"/>
    <col min="32" max="32" width="25.5" customWidth="1"/>
  </cols>
  <sheetData>
    <row r="1" spans="1:32" s="212" customFormat="1" ht="34" customHeight="1" x14ac:dyDescent="0.15">
      <c r="A1" s="228"/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</row>
    <row r="2" spans="1:32" ht="30" customHeight="1" x14ac:dyDescent="0.15">
      <c r="A2" s="234" t="s">
        <v>2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6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20" x14ac:dyDescent="0.25">
      <c r="A3" s="237" t="s">
        <v>4</v>
      </c>
      <c r="B3" s="240" t="s">
        <v>5</v>
      </c>
      <c r="C3" s="5" t="s">
        <v>6</v>
      </c>
      <c r="D3" s="3"/>
      <c r="E3" s="3"/>
      <c r="F3" s="3"/>
      <c r="G3" s="7"/>
      <c r="H3" s="9"/>
      <c r="I3" s="9"/>
      <c r="J3" s="11"/>
      <c r="K3" s="11"/>
      <c r="L3" s="11"/>
      <c r="M3" s="15"/>
      <c r="N3" s="15"/>
      <c r="O3" s="15"/>
      <c r="P3" s="17"/>
      <c r="Q3" s="15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8" x14ac:dyDescent="0.25">
      <c r="A4" s="238"/>
      <c r="B4" s="241"/>
      <c r="C4" s="18" t="s">
        <v>12</v>
      </c>
      <c r="D4" s="19"/>
      <c r="E4" s="19"/>
      <c r="F4" s="19"/>
      <c r="G4" s="9"/>
      <c r="H4" s="9"/>
      <c r="I4" s="9"/>
      <c r="J4" s="11"/>
      <c r="K4" s="11"/>
      <c r="L4" s="11"/>
      <c r="M4" s="15"/>
      <c r="N4" s="15"/>
      <c r="O4" s="15"/>
      <c r="P4" s="15"/>
      <c r="Q4" s="15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8" x14ac:dyDescent="0.25">
      <c r="A5" s="238"/>
      <c r="B5" s="241"/>
      <c r="C5" s="18" t="s">
        <v>14</v>
      </c>
      <c r="D5" s="19"/>
      <c r="E5" s="19"/>
      <c r="F5" s="19"/>
      <c r="G5" s="9"/>
      <c r="H5" s="9"/>
      <c r="I5" s="9"/>
      <c r="J5" s="11"/>
      <c r="K5" s="11"/>
      <c r="L5" s="11"/>
      <c r="M5" s="15"/>
      <c r="N5" s="15"/>
      <c r="O5" s="15"/>
      <c r="P5" s="15"/>
      <c r="Q5" s="15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x14ac:dyDescent="0.25">
      <c r="A6" s="238"/>
      <c r="B6" s="241"/>
      <c r="C6" s="22" t="s">
        <v>15</v>
      </c>
      <c r="D6" s="19"/>
      <c r="E6" s="19"/>
      <c r="F6" s="19"/>
      <c r="G6" s="9"/>
      <c r="H6" s="9"/>
      <c r="I6" s="9"/>
      <c r="J6" s="11"/>
      <c r="K6" s="11"/>
      <c r="L6" s="11"/>
      <c r="M6" s="15"/>
      <c r="N6" s="15"/>
      <c r="O6" s="15"/>
      <c r="P6" s="15"/>
      <c r="Q6" s="15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8" x14ac:dyDescent="0.15">
      <c r="A7" s="239"/>
      <c r="B7" s="3" t="s">
        <v>16</v>
      </c>
      <c r="C7" s="3" t="s">
        <v>17</v>
      </c>
      <c r="D7" s="19"/>
      <c r="E7" s="19"/>
      <c r="F7" s="19"/>
      <c r="G7" s="9"/>
      <c r="H7" s="9"/>
      <c r="I7" s="9"/>
      <c r="J7" s="11"/>
      <c r="K7" s="11"/>
      <c r="L7" s="11"/>
      <c r="M7" s="15"/>
      <c r="N7" s="15"/>
      <c r="O7" s="15"/>
      <c r="P7" s="15"/>
      <c r="Q7" s="15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12.75" customHeight="1" x14ac:dyDescent="0.15">
      <c r="A8" s="26"/>
      <c r="B8" s="28"/>
      <c r="C8" s="29"/>
      <c r="D8" s="26"/>
      <c r="E8" s="26"/>
      <c r="F8" s="26"/>
      <c r="G8" s="28"/>
      <c r="H8" s="28"/>
      <c r="I8" s="28"/>
      <c r="J8" s="15"/>
      <c r="K8" s="15"/>
      <c r="L8" s="15"/>
      <c r="M8" s="15"/>
      <c r="N8" s="15"/>
      <c r="O8" s="15"/>
      <c r="P8" s="15"/>
      <c r="Q8" s="15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12.75" customHeight="1" x14ac:dyDescent="0.15">
      <c r="A9" s="26"/>
      <c r="B9" s="28"/>
      <c r="C9" s="29"/>
      <c r="D9" s="26"/>
      <c r="E9" s="26"/>
      <c r="F9" s="26"/>
      <c r="G9" s="28"/>
      <c r="H9" s="28"/>
      <c r="I9" s="28"/>
      <c r="J9" s="15"/>
      <c r="K9" s="15"/>
      <c r="L9" s="15"/>
      <c r="M9" s="15"/>
      <c r="N9" s="15"/>
      <c r="O9" s="15"/>
      <c r="P9" s="15"/>
      <c r="Q9" s="15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12.75" customHeight="1" x14ac:dyDescent="0.15">
      <c r="A10" s="26"/>
      <c r="B10" s="28"/>
      <c r="C10" s="29"/>
      <c r="D10" s="26"/>
      <c r="E10" s="26"/>
      <c r="F10" s="26"/>
      <c r="G10" s="28"/>
      <c r="H10" s="28"/>
      <c r="I10" s="28"/>
      <c r="J10" s="15"/>
      <c r="K10" s="15"/>
      <c r="L10" s="15"/>
      <c r="M10" s="15"/>
      <c r="N10" s="15"/>
      <c r="O10" s="15"/>
      <c r="P10" s="15"/>
      <c r="Q10" s="15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12.75" customHeight="1" x14ac:dyDescent="0.15">
      <c r="A11" s="26"/>
      <c r="B11" s="28"/>
      <c r="C11" s="29"/>
      <c r="D11" s="26"/>
      <c r="E11" s="26"/>
      <c r="F11" s="26"/>
      <c r="G11" s="28"/>
      <c r="H11" s="28"/>
      <c r="I11" s="28"/>
      <c r="J11" s="15"/>
      <c r="K11" s="15"/>
      <c r="L11" s="15"/>
      <c r="M11" s="15"/>
      <c r="N11" s="15"/>
      <c r="O11" s="15"/>
      <c r="P11" s="15"/>
      <c r="Q11" s="15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12.75" customHeight="1" x14ac:dyDescent="0.15">
      <c r="A12" s="26"/>
      <c r="B12" s="28"/>
      <c r="C12" s="29"/>
      <c r="D12" s="26"/>
      <c r="E12" s="26"/>
      <c r="F12" s="26"/>
      <c r="G12" s="28"/>
      <c r="H12" s="28"/>
      <c r="I12" s="28"/>
      <c r="J12" s="15"/>
      <c r="K12" s="15"/>
      <c r="L12" s="15"/>
      <c r="M12" s="15"/>
      <c r="N12" s="15"/>
      <c r="O12" s="15"/>
      <c r="P12" s="15"/>
      <c r="Q12" s="15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12.75" customHeight="1" x14ac:dyDescent="0.15">
      <c r="A13" s="26"/>
      <c r="B13" s="28"/>
      <c r="C13" s="29"/>
      <c r="D13" s="26"/>
      <c r="E13" s="26"/>
      <c r="F13" s="26"/>
      <c r="G13" s="28"/>
      <c r="H13" s="28"/>
      <c r="I13" s="28"/>
      <c r="J13" s="15"/>
      <c r="K13" s="15"/>
      <c r="L13" s="15"/>
      <c r="M13" s="15"/>
      <c r="N13" s="15"/>
      <c r="O13" s="15"/>
      <c r="P13" s="15"/>
      <c r="Q13" s="15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2.75" customHeight="1" x14ac:dyDescent="0.15">
      <c r="A14" s="26"/>
      <c r="B14" s="28"/>
      <c r="C14" s="29"/>
      <c r="D14" s="26"/>
      <c r="E14" s="26"/>
      <c r="F14" s="26"/>
      <c r="G14" s="28"/>
      <c r="H14" s="28"/>
      <c r="I14" s="28"/>
      <c r="J14" s="15"/>
      <c r="K14" s="15"/>
      <c r="L14" s="15"/>
      <c r="M14" s="15"/>
      <c r="N14" s="15"/>
      <c r="O14" s="15"/>
      <c r="P14" s="15"/>
      <c r="Q14" s="15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2.75" customHeight="1" x14ac:dyDescent="0.15">
      <c r="A15" s="26"/>
      <c r="B15" s="28"/>
      <c r="C15" s="29"/>
      <c r="D15" s="26"/>
      <c r="E15" s="26"/>
      <c r="F15" s="26"/>
      <c r="G15" s="28"/>
      <c r="H15" s="28"/>
      <c r="I15" s="28"/>
      <c r="J15" s="15"/>
      <c r="K15" s="15"/>
      <c r="L15" s="15"/>
      <c r="M15" s="15"/>
      <c r="N15" s="15"/>
      <c r="O15" s="15"/>
      <c r="P15" s="15"/>
      <c r="Q15" s="15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2.75" customHeight="1" x14ac:dyDescent="0.15">
      <c r="A16" s="26"/>
      <c r="B16" s="28"/>
      <c r="C16" s="29"/>
      <c r="D16" s="26"/>
      <c r="E16" s="26"/>
      <c r="F16" s="26"/>
      <c r="G16" s="28"/>
      <c r="H16" s="28"/>
      <c r="I16" s="28"/>
      <c r="J16" s="15"/>
      <c r="K16" s="15"/>
      <c r="L16" s="15"/>
      <c r="M16" s="15"/>
      <c r="N16" s="15"/>
      <c r="O16" s="15"/>
      <c r="P16" s="15"/>
      <c r="Q16" s="15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2.75" customHeight="1" x14ac:dyDescent="0.15">
      <c r="A17" s="26"/>
      <c r="B17" s="28"/>
      <c r="C17" s="29"/>
      <c r="D17" s="26"/>
      <c r="E17" s="26"/>
      <c r="F17" s="26"/>
      <c r="G17" s="28"/>
      <c r="H17" s="28"/>
      <c r="I17" s="28"/>
      <c r="J17" s="15"/>
      <c r="K17" s="15"/>
      <c r="L17" s="15"/>
      <c r="M17" s="15"/>
      <c r="N17" s="15"/>
      <c r="O17" s="15"/>
      <c r="P17" s="15"/>
      <c r="Q17" s="15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2.75" customHeight="1" x14ac:dyDescent="0.15">
      <c r="A18" s="26"/>
      <c r="B18" s="28"/>
      <c r="C18" s="29"/>
      <c r="D18" s="26"/>
      <c r="E18" s="26"/>
      <c r="F18" s="26"/>
      <c r="G18" s="28"/>
      <c r="H18" s="28"/>
      <c r="I18" s="28"/>
      <c r="J18" s="15"/>
      <c r="K18" s="15"/>
      <c r="L18" s="15"/>
      <c r="M18" s="15"/>
      <c r="N18" s="15"/>
      <c r="O18" s="15"/>
      <c r="P18" s="15"/>
      <c r="Q18" s="15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2.75" customHeight="1" x14ac:dyDescent="0.15">
      <c r="A19" s="26"/>
      <c r="B19" s="28"/>
      <c r="C19" s="29"/>
      <c r="D19" s="26"/>
      <c r="E19" s="26"/>
      <c r="F19" s="26"/>
      <c r="G19" s="28"/>
      <c r="H19" s="28"/>
      <c r="I19" s="28"/>
      <c r="J19" s="15"/>
      <c r="K19" s="15"/>
      <c r="L19" s="15"/>
      <c r="M19" s="15"/>
      <c r="N19" s="15"/>
      <c r="O19" s="15"/>
      <c r="P19" s="15"/>
      <c r="Q19" s="15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2.75" customHeight="1" x14ac:dyDescent="0.15">
      <c r="A20" s="26"/>
      <c r="B20" s="28"/>
      <c r="C20" s="29"/>
      <c r="D20" s="26"/>
      <c r="E20" s="26"/>
      <c r="F20" s="26"/>
      <c r="G20" s="28"/>
      <c r="H20" s="28"/>
      <c r="I20" s="28"/>
      <c r="J20" s="15"/>
      <c r="K20" s="15"/>
      <c r="L20" s="15"/>
      <c r="M20" s="15"/>
      <c r="N20" s="15"/>
      <c r="O20" s="15"/>
      <c r="P20" s="15"/>
      <c r="Q20" s="15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2.75" customHeight="1" x14ac:dyDescent="0.15">
      <c r="A21" s="26"/>
      <c r="B21" s="28"/>
      <c r="C21" s="29"/>
      <c r="D21" s="26"/>
      <c r="E21" s="26"/>
      <c r="F21" s="26"/>
      <c r="G21" s="28"/>
      <c r="H21" s="28"/>
      <c r="I21" s="28"/>
      <c r="J21" s="15"/>
      <c r="K21" s="15"/>
      <c r="L21" s="15"/>
      <c r="M21" s="15"/>
      <c r="N21" s="15"/>
      <c r="O21" s="15"/>
      <c r="P21" s="15"/>
      <c r="Q21" s="15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2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8" x14ac:dyDescent="0.15">
      <c r="A23" s="242" t="s">
        <v>23</v>
      </c>
      <c r="B23" s="243"/>
      <c r="C23" s="244"/>
      <c r="D23" s="38"/>
      <c r="E23" s="250" t="s">
        <v>27</v>
      </c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5"/>
      <c r="W23" s="235"/>
      <c r="X23" s="235"/>
      <c r="Y23" s="235"/>
      <c r="Z23" s="235"/>
      <c r="AA23" s="235"/>
      <c r="AB23" s="235"/>
      <c r="AC23" s="235"/>
      <c r="AD23" s="235"/>
      <c r="AE23" s="235"/>
      <c r="AF23" s="236"/>
    </row>
    <row r="24" spans="1:32" ht="21" x14ac:dyDescent="0.15">
      <c r="A24" s="245"/>
      <c r="B24" s="246"/>
      <c r="C24" s="247"/>
      <c r="D24" s="42"/>
      <c r="E24" s="260" t="s">
        <v>31</v>
      </c>
      <c r="F24" s="261"/>
      <c r="G24" s="261"/>
      <c r="H24" s="261"/>
      <c r="I24" s="261"/>
      <c r="J24" s="261"/>
      <c r="K24" s="261"/>
      <c r="L24" s="261"/>
      <c r="M24" s="262"/>
      <c r="N24" s="263" t="s">
        <v>33</v>
      </c>
      <c r="O24" s="258"/>
      <c r="P24" s="258"/>
      <c r="Q24" s="264"/>
      <c r="R24" s="257" t="s">
        <v>34</v>
      </c>
      <c r="S24" s="258"/>
      <c r="T24" s="259"/>
      <c r="U24" s="251" t="s">
        <v>32</v>
      </c>
      <c r="V24" s="252"/>
      <c r="W24" s="252"/>
      <c r="X24" s="253"/>
      <c r="Y24" s="254" t="s">
        <v>36</v>
      </c>
      <c r="Z24" s="235"/>
      <c r="AA24" s="235"/>
      <c r="AB24" s="235"/>
      <c r="AC24" s="235"/>
      <c r="AD24" s="235"/>
      <c r="AE24" s="235"/>
      <c r="AF24" s="236"/>
    </row>
    <row r="25" spans="1:32" ht="42" x14ac:dyDescent="0.15">
      <c r="A25" s="46" t="s">
        <v>41</v>
      </c>
      <c r="B25" s="46" t="s">
        <v>43</v>
      </c>
      <c r="C25" s="46" t="s">
        <v>44</v>
      </c>
      <c r="D25" s="38"/>
      <c r="E25" s="48" t="s">
        <v>45</v>
      </c>
      <c r="F25" s="48" t="s">
        <v>49</v>
      </c>
      <c r="G25" s="50" t="s">
        <v>50</v>
      </c>
      <c r="H25" s="48" t="s">
        <v>52</v>
      </c>
      <c r="I25" s="51" t="s">
        <v>347</v>
      </c>
      <c r="J25" s="46" t="s">
        <v>53</v>
      </c>
      <c r="K25" s="46" t="s">
        <v>54</v>
      </c>
      <c r="L25" s="46" t="s">
        <v>55</v>
      </c>
      <c r="M25" s="48" t="s">
        <v>56</v>
      </c>
      <c r="N25" s="52" t="s">
        <v>57</v>
      </c>
      <c r="O25" s="53" t="s">
        <v>58</v>
      </c>
      <c r="P25" s="53" t="s">
        <v>60</v>
      </c>
      <c r="Q25" s="53" t="s">
        <v>61</v>
      </c>
      <c r="R25" s="54" t="s">
        <v>62</v>
      </c>
      <c r="S25" s="54" t="s">
        <v>64</v>
      </c>
      <c r="T25" s="56" t="s">
        <v>65</v>
      </c>
      <c r="U25" s="47" t="s">
        <v>42</v>
      </c>
      <c r="V25" s="47" t="s">
        <v>46</v>
      </c>
      <c r="W25" s="47" t="s">
        <v>48</v>
      </c>
      <c r="X25" s="58" t="s">
        <v>47</v>
      </c>
      <c r="Y25" s="60" t="s">
        <v>69</v>
      </c>
      <c r="Z25" s="44" t="s">
        <v>70</v>
      </c>
      <c r="AA25" s="44" t="s">
        <v>71</v>
      </c>
      <c r="AB25" s="44" t="s">
        <v>72</v>
      </c>
      <c r="AC25" s="44" t="s">
        <v>73</v>
      </c>
      <c r="AD25" s="44" t="s">
        <v>74</v>
      </c>
      <c r="AE25" s="44" t="s">
        <v>75</v>
      </c>
      <c r="AF25" s="44" t="s">
        <v>76</v>
      </c>
    </row>
    <row r="26" spans="1:32" ht="48" x14ac:dyDescent="0.15">
      <c r="A26" s="61" t="s">
        <v>77</v>
      </c>
      <c r="B26" s="61" t="s">
        <v>78</v>
      </c>
      <c r="C26" s="61" t="s">
        <v>79</v>
      </c>
      <c r="D26" s="13"/>
      <c r="E26" s="226" t="s">
        <v>80</v>
      </c>
      <c r="F26" s="249" t="s">
        <v>82</v>
      </c>
      <c r="G26" s="248" t="s">
        <v>84</v>
      </c>
      <c r="H26" s="233">
        <v>1</v>
      </c>
      <c r="I26" s="232" t="s">
        <v>86</v>
      </c>
      <c r="J26" s="232" t="s">
        <v>87</v>
      </c>
      <c r="K26" s="233" t="s">
        <v>88</v>
      </c>
      <c r="L26" s="232" t="s">
        <v>89</v>
      </c>
      <c r="M26" s="232" t="s">
        <v>90</v>
      </c>
      <c r="N26" s="64" t="s">
        <v>91</v>
      </c>
      <c r="O26" s="65" t="str">
        <f>_xlfn.IFNA(VLOOKUP($N26,$A$26:$C$44,2,FALSE),"-")</f>
        <v>productName_var</v>
      </c>
      <c r="P26" s="66" t="str">
        <f>_xlfn.IFNA(VLOOKUP($N26,$A$26:$C$44,3,FALSE),"-")</f>
        <v>字符串</v>
      </c>
      <c r="Q26" s="67"/>
      <c r="R26" s="69" t="str">
        <f t="shared" ref="R26:R33" si="0">IF(O26="-",,"'"&amp;O26&amp;"'"&amp;":'VALUE'")</f>
        <v>'productName_var':'VALUE'</v>
      </c>
      <c r="S26" s="61" t="str">
        <f t="shared" ref="S26:S33" si="1">IF(O26="-",,CONCATENATE("jsonObject.put("""&amp;O26&amp;""",''VALUE"");"))</f>
        <v>jsonObject.put("productName_var",''VALUE");</v>
      </c>
      <c r="T26" s="61" t="str">
        <f t="shared" ref="T26:T33" si="2">IF(O25="-",,CONCATENATE("@"""&amp;O26&amp;""": @""VALUE"""))</f>
        <v>@"productName_var": @"VALUE"</v>
      </c>
      <c r="U26" s="71" t="s">
        <v>93</v>
      </c>
      <c r="V26" s="2"/>
      <c r="W26" s="2"/>
      <c r="X26" s="2"/>
      <c r="Y26" s="255" t="s">
        <v>94</v>
      </c>
      <c r="Z26" s="269" t="str">
        <f>CONCATENATE("gio('track','"&amp;I26&amp;"',{"&amp;CHAR(10)&amp;R26&amp;","&amp;CHAR(10)&amp;R27&amp;","&amp;CHAR(10)&amp;R28&amp;","&amp;CHAR(10)&amp;R29&amp;","&amp;CHAR(10)&amp;R30&amp;","&amp;CHAR(10)&amp;R31&amp;","&amp;CHAR(10)&amp;R32&amp;","&amp;CHAR(10)&amp;R33&amp;CHAR(10)&amp;"});")</f>
        <v>gio('track','productImp',{
'productName_var':'VALUE',
'sndCat_var':'VALUE',
'thirdCat_var':'VALUE',
'flowName_var':'VALUE',
'floor_var':'VALUE',
'position_var':'VALUE',
'productId_var':'VALUE',
'firstCat_var':'VALUE'
});</v>
      </c>
      <c r="AA26" s="268" t="s">
        <v>123</v>
      </c>
      <c r="AB26" s="269" t="str">
        <f>CONCATENATE("[Growing track:@"""&amp;I26&amp;"""; withVariable:
@{"&amp;CHAR(10)&amp;T26&amp;","&amp;CHAR(10)&amp;T27&amp;","&amp;CHAR(10)&amp;T28&amp;","&amp;CHAR(10)&amp;T29&amp;","&amp;CHAR(10)&amp;T30&amp;","&amp;CHAR(10)&amp;T31&amp;","&amp;CHAR(10)&amp;T32&amp;","&amp;CHAR(10)&amp;T33&amp;CHAR(10)&amp;"}];")</f>
        <v>[Growing track:@"productImp"; withVariable:
@{
@"productName_var": @"VALUE",
@"sndCat_var": @"VALUE",
@"thirdCat_var": @"VALUE",
@"flowName_var": @"VALUE",
@"floor_var": @"VALUE",
@"position_var": @"VALUE",
@"productId_var": @"VALUE",
@"firstCat_var": @"VALUE"
}];</v>
      </c>
      <c r="AC26" s="269" t="s">
        <v>127</v>
      </c>
      <c r="AD26" s="269" t="str">
        <f>CONCATENATE("GrowingIO gio = GrowingIO.getInstance();
JSONObject jsonObject = new JSONObject();"&amp;CHAR(10)&amp;S26&amp;CHAR(10)&amp;S27&amp;CHAR(10)&amp;S28&amp;CHAR(10)&amp;S29&amp;CHAR(10)&amp;S30&amp;CHAR(10)&amp;S31&amp;CHAR(10)&amp;S32&amp;CHAR(10)&amp;S33&amp;CHAR(10)&amp;"gio.track("""&amp;I26&amp;""", jsonObject);")</f>
        <v>GrowingIO gio = GrowingIO.getInstance();
JSONObject jsonObject = new JSONObject();
jsonObject.put("productName_var",''VALUE");
jsonObject.put("sndCat_var",''VALUE");
jsonObject.put("thirdCat_var",''VALUE");
jsonObject.put("flowName_var",''VALUE");
jsonObject.put("floor_var",''VALUE");
jsonObject.put("position_var",''VALUE");
jsonObject.put("productId_var",''VALUE");
jsonObject.put("firstCat_var",''VALUE");
gio.track("productImp", jsonObject);</v>
      </c>
      <c r="AE26" s="269" t="s">
        <v>128</v>
      </c>
      <c r="AF26" s="269" t="str">
        <f>CONCATENATE("gio('track','"&amp;I26&amp;"',{"&amp;CHAR(10)&amp;R26&amp;","&amp;CHAR(10)&amp;R27&amp;","&amp;CHAR(10)&amp;R28&amp;","&amp;CHAR(10)&amp;R29&amp;","&amp;CHAR(10)&amp;R30&amp;","&amp;CHAR(10)&amp;R31&amp;","&amp;CHAR(10)&amp;R32&amp;","&amp;CHAR(10)&amp;R33&amp;CHAR(10)&amp;"});")</f>
        <v>gio('track','productImp',{
'productName_var':'VALUE',
'sndCat_var':'VALUE',
'thirdCat_var':'VALUE',
'flowName_var':'VALUE',
'floor_var':'VALUE',
'position_var':'VALUE',
'productId_var':'VALUE',
'firstCat_var':'VALUE'
});</v>
      </c>
    </row>
    <row r="27" spans="1:32" ht="32" x14ac:dyDescent="0.15">
      <c r="A27" s="61" t="s">
        <v>131</v>
      </c>
      <c r="B27" s="61" t="s">
        <v>132</v>
      </c>
      <c r="C27" s="61" t="s">
        <v>133</v>
      </c>
      <c r="D27" s="13"/>
      <c r="E27" s="227"/>
      <c r="F27" s="223"/>
      <c r="G27" s="223"/>
      <c r="H27" s="223"/>
      <c r="I27" s="223"/>
      <c r="J27" s="223"/>
      <c r="K27" s="223"/>
      <c r="L27" s="223"/>
      <c r="M27" s="223"/>
      <c r="N27" s="64" t="s">
        <v>134</v>
      </c>
      <c r="O27" s="65" t="str">
        <f t="shared" ref="O27:O67" si="3">_xlfn.IFNA(VLOOKUP($N27,$A$26:$C$44,2,FALSE),"-")</f>
        <v>sndCat_var</v>
      </c>
      <c r="P27" s="66" t="str">
        <f t="shared" ref="P27:P67" si="4">_xlfn.IFNA(VLOOKUP($N27,$A$26:$C$44,3,FALSE),"-")</f>
        <v>字符串</v>
      </c>
      <c r="Q27" s="67"/>
      <c r="R27" s="69" t="str">
        <f t="shared" si="0"/>
        <v>'sndCat_var':'VALUE'</v>
      </c>
      <c r="S27" s="61" t="str">
        <f t="shared" si="1"/>
        <v>jsonObject.put("sndCat_var",''VALUE");</v>
      </c>
      <c r="T27" s="61" t="str">
        <f t="shared" si="2"/>
        <v>@"sndCat_var": @"VALUE"</v>
      </c>
      <c r="U27" s="108" t="s">
        <v>81</v>
      </c>
      <c r="V27" s="109" t="s">
        <v>125</v>
      </c>
      <c r="W27" s="109"/>
      <c r="X27" s="109"/>
      <c r="Y27" s="256"/>
      <c r="Z27" s="223"/>
      <c r="AA27" s="223"/>
      <c r="AB27" s="223"/>
      <c r="AC27" s="223"/>
      <c r="AD27" s="223"/>
      <c r="AE27" s="223"/>
      <c r="AF27" s="223"/>
    </row>
    <row r="28" spans="1:32" ht="32" x14ac:dyDescent="0.15">
      <c r="A28" s="61" t="s">
        <v>135</v>
      </c>
      <c r="B28" s="61" t="s">
        <v>136</v>
      </c>
      <c r="C28" s="61" t="s">
        <v>137</v>
      </c>
      <c r="D28" s="13"/>
      <c r="E28" s="227"/>
      <c r="F28" s="223"/>
      <c r="G28" s="223"/>
      <c r="H28" s="223"/>
      <c r="I28" s="223"/>
      <c r="J28" s="223"/>
      <c r="K28" s="223"/>
      <c r="L28" s="223"/>
      <c r="M28" s="223"/>
      <c r="N28" s="110" t="s">
        <v>138</v>
      </c>
      <c r="O28" s="65" t="str">
        <f t="shared" si="3"/>
        <v>thirdCat_var</v>
      </c>
      <c r="P28" s="66" t="str">
        <f t="shared" si="4"/>
        <v>字符串</v>
      </c>
      <c r="Q28" s="67"/>
      <c r="R28" s="69" t="str">
        <f t="shared" si="0"/>
        <v>'thirdCat_var':'VALUE'</v>
      </c>
      <c r="S28" s="61" t="str">
        <f t="shared" si="1"/>
        <v>jsonObject.put("thirdCat_var",''VALUE");</v>
      </c>
      <c r="T28" s="61" t="str">
        <f t="shared" si="2"/>
        <v>@"thirdCat_var": @"VALUE"</v>
      </c>
      <c r="U28" s="111"/>
      <c r="V28" s="111"/>
      <c r="W28" s="111"/>
      <c r="X28" s="111"/>
      <c r="Y28" s="256"/>
      <c r="Z28" s="223"/>
      <c r="AA28" s="223"/>
      <c r="AB28" s="223"/>
      <c r="AC28" s="223"/>
      <c r="AD28" s="223"/>
      <c r="AE28" s="223"/>
      <c r="AF28" s="223"/>
    </row>
    <row r="29" spans="1:32" ht="48" x14ac:dyDescent="0.15">
      <c r="A29" s="61" t="s">
        <v>139</v>
      </c>
      <c r="B29" s="61" t="s">
        <v>140</v>
      </c>
      <c r="C29" s="61" t="s">
        <v>141</v>
      </c>
      <c r="D29" s="13"/>
      <c r="E29" s="227"/>
      <c r="F29" s="223"/>
      <c r="G29" s="223"/>
      <c r="H29" s="223"/>
      <c r="I29" s="223"/>
      <c r="J29" s="223"/>
      <c r="K29" s="223"/>
      <c r="L29" s="223"/>
      <c r="M29" s="223"/>
      <c r="N29" s="112" t="s">
        <v>142</v>
      </c>
      <c r="O29" s="65" t="str">
        <f t="shared" si="3"/>
        <v>flowName_var</v>
      </c>
      <c r="P29" s="66" t="str">
        <f t="shared" si="4"/>
        <v>字符串</v>
      </c>
      <c r="Q29" s="67"/>
      <c r="R29" s="69" t="str">
        <f t="shared" si="0"/>
        <v>'flowName_var':'VALUE'</v>
      </c>
      <c r="S29" s="61" t="str">
        <f t="shared" si="1"/>
        <v>jsonObject.put("flowName_var",''VALUE");</v>
      </c>
      <c r="T29" s="61" t="str">
        <f t="shared" si="2"/>
        <v>@"flowName_var": @"VALUE"</v>
      </c>
      <c r="U29" s="108"/>
      <c r="V29" s="113"/>
      <c r="W29" s="113"/>
      <c r="X29" s="113"/>
      <c r="Y29" s="256"/>
      <c r="Z29" s="223"/>
      <c r="AA29" s="223"/>
      <c r="AB29" s="223"/>
      <c r="AC29" s="223"/>
      <c r="AD29" s="223"/>
      <c r="AE29" s="223"/>
      <c r="AF29" s="223"/>
    </row>
    <row r="30" spans="1:32" ht="32" x14ac:dyDescent="0.15">
      <c r="A30" s="61" t="s">
        <v>143</v>
      </c>
      <c r="B30" s="61" t="s">
        <v>144</v>
      </c>
      <c r="C30" s="61" t="s">
        <v>145</v>
      </c>
      <c r="D30" s="13"/>
      <c r="E30" s="227"/>
      <c r="F30" s="223"/>
      <c r="G30" s="223"/>
      <c r="H30" s="223"/>
      <c r="I30" s="223"/>
      <c r="J30" s="223"/>
      <c r="K30" s="223"/>
      <c r="L30" s="223"/>
      <c r="M30" s="223"/>
      <c r="N30" s="112" t="s">
        <v>146</v>
      </c>
      <c r="O30" s="65" t="str">
        <f t="shared" si="3"/>
        <v>floor_var</v>
      </c>
      <c r="P30" s="66" t="str">
        <f t="shared" si="4"/>
        <v>字符串</v>
      </c>
      <c r="Q30" s="67"/>
      <c r="R30" s="69" t="str">
        <f t="shared" si="0"/>
        <v>'floor_var':'VALUE'</v>
      </c>
      <c r="S30" s="61" t="str">
        <f t="shared" si="1"/>
        <v>jsonObject.put("floor_var",''VALUE");</v>
      </c>
      <c r="T30" s="61" t="str">
        <f t="shared" si="2"/>
        <v>@"floor_var": @"VALUE"</v>
      </c>
      <c r="U30" s="108"/>
      <c r="V30" s="113"/>
      <c r="W30" s="113"/>
      <c r="X30" s="113"/>
      <c r="Y30" s="256"/>
      <c r="Z30" s="223"/>
      <c r="AA30" s="223"/>
      <c r="AB30" s="223"/>
      <c r="AC30" s="223"/>
      <c r="AD30" s="223"/>
      <c r="AE30" s="223"/>
      <c r="AF30" s="223"/>
    </row>
    <row r="31" spans="1:32" ht="32" x14ac:dyDescent="0.15">
      <c r="A31" s="61" t="s">
        <v>147</v>
      </c>
      <c r="B31" s="61" t="s">
        <v>148</v>
      </c>
      <c r="C31" s="61" t="s">
        <v>149</v>
      </c>
      <c r="D31" s="13"/>
      <c r="E31" s="227"/>
      <c r="F31" s="223"/>
      <c r="G31" s="223"/>
      <c r="H31" s="223"/>
      <c r="I31" s="223"/>
      <c r="J31" s="223"/>
      <c r="K31" s="223"/>
      <c r="L31" s="223"/>
      <c r="M31" s="223"/>
      <c r="N31" s="112" t="s">
        <v>150</v>
      </c>
      <c r="O31" s="65" t="str">
        <f t="shared" si="3"/>
        <v>position_var</v>
      </c>
      <c r="P31" s="66" t="str">
        <f t="shared" si="4"/>
        <v>字符串</v>
      </c>
      <c r="Q31" s="67"/>
      <c r="R31" s="69" t="str">
        <f t="shared" si="0"/>
        <v>'position_var':'VALUE'</v>
      </c>
      <c r="S31" s="61" t="str">
        <f t="shared" si="1"/>
        <v>jsonObject.put("position_var",''VALUE");</v>
      </c>
      <c r="T31" s="61" t="str">
        <f t="shared" si="2"/>
        <v>@"position_var": @"VALUE"</v>
      </c>
      <c r="U31" s="108"/>
      <c r="V31" s="113"/>
      <c r="W31" s="113"/>
      <c r="X31" s="113"/>
      <c r="Y31" s="256"/>
      <c r="Z31" s="223"/>
      <c r="AA31" s="223"/>
      <c r="AB31" s="223"/>
      <c r="AC31" s="223"/>
      <c r="AD31" s="223"/>
      <c r="AE31" s="223"/>
      <c r="AF31" s="223"/>
    </row>
    <row r="32" spans="1:32" ht="48" x14ac:dyDescent="0.15">
      <c r="A32" s="61" t="s">
        <v>151</v>
      </c>
      <c r="B32" s="61" t="s">
        <v>152</v>
      </c>
      <c r="C32" s="61" t="s">
        <v>153</v>
      </c>
      <c r="D32" s="13"/>
      <c r="E32" s="227"/>
      <c r="F32" s="223"/>
      <c r="G32" s="223"/>
      <c r="H32" s="223"/>
      <c r="I32" s="223"/>
      <c r="J32" s="223"/>
      <c r="K32" s="223"/>
      <c r="L32" s="223"/>
      <c r="M32" s="223"/>
      <c r="N32" s="112" t="s">
        <v>154</v>
      </c>
      <c r="O32" s="65" t="str">
        <f t="shared" si="3"/>
        <v>productId_var</v>
      </c>
      <c r="P32" s="66" t="str">
        <f t="shared" si="4"/>
        <v>字符串</v>
      </c>
      <c r="Q32" s="67"/>
      <c r="R32" s="69" t="str">
        <f t="shared" si="0"/>
        <v>'productId_var':'VALUE'</v>
      </c>
      <c r="S32" s="61" t="str">
        <f t="shared" si="1"/>
        <v>jsonObject.put("productId_var",''VALUE");</v>
      </c>
      <c r="T32" s="61" t="str">
        <f t="shared" si="2"/>
        <v>@"productId_var": @"VALUE"</v>
      </c>
      <c r="U32" s="108"/>
      <c r="V32" s="113"/>
      <c r="W32" s="113"/>
      <c r="X32" s="113"/>
      <c r="Y32" s="256"/>
      <c r="Z32" s="223"/>
      <c r="AA32" s="223"/>
      <c r="AB32" s="223"/>
      <c r="AC32" s="223"/>
      <c r="AD32" s="223"/>
      <c r="AE32" s="223"/>
      <c r="AF32" s="223"/>
    </row>
    <row r="33" spans="1:32" ht="32" x14ac:dyDescent="0.15">
      <c r="A33" s="61" t="s">
        <v>155</v>
      </c>
      <c r="B33" s="61" t="s">
        <v>156</v>
      </c>
      <c r="C33" s="61" t="s">
        <v>157</v>
      </c>
      <c r="D33" s="13"/>
      <c r="E33" s="227"/>
      <c r="F33" s="224"/>
      <c r="G33" s="224"/>
      <c r="H33" s="224"/>
      <c r="I33" s="224"/>
      <c r="J33" s="224"/>
      <c r="K33" s="224"/>
      <c r="L33" s="224"/>
      <c r="M33" s="224"/>
      <c r="N33" s="110" t="s">
        <v>158</v>
      </c>
      <c r="O33" s="65" t="str">
        <f t="shared" si="3"/>
        <v>firstCat_var</v>
      </c>
      <c r="P33" s="66" t="str">
        <f t="shared" si="4"/>
        <v>字符串</v>
      </c>
      <c r="Q33" s="67"/>
      <c r="R33" s="69" t="str">
        <f t="shared" si="0"/>
        <v>'firstCat_var':'VALUE'</v>
      </c>
      <c r="S33" s="61" t="str">
        <f t="shared" si="1"/>
        <v>jsonObject.put("firstCat_var",''VALUE");</v>
      </c>
      <c r="T33" s="61" t="str">
        <f t="shared" si="2"/>
        <v>@"firstCat_var": @"VALUE"</v>
      </c>
      <c r="U33" s="114"/>
      <c r="V33" s="113"/>
      <c r="W33" s="113"/>
      <c r="X33" s="113"/>
      <c r="Y33" s="256"/>
      <c r="Z33" s="224"/>
      <c r="AA33" s="224"/>
      <c r="AB33" s="224"/>
      <c r="AC33" s="224"/>
      <c r="AD33" s="224"/>
      <c r="AE33" s="224"/>
      <c r="AF33" s="224"/>
    </row>
    <row r="34" spans="1:32" ht="19" x14ac:dyDescent="0.15">
      <c r="A34" s="61" t="s">
        <v>159</v>
      </c>
      <c r="B34" s="61" t="s">
        <v>160</v>
      </c>
      <c r="C34" s="115" t="s">
        <v>161</v>
      </c>
      <c r="D34" s="13"/>
      <c r="E34" s="227"/>
      <c r="F34" s="266" t="s">
        <v>162</v>
      </c>
      <c r="G34" s="267" t="s">
        <v>163</v>
      </c>
      <c r="H34" s="225">
        <v>2</v>
      </c>
      <c r="I34" s="229" t="s">
        <v>164</v>
      </c>
      <c r="J34" s="229" t="s">
        <v>165</v>
      </c>
      <c r="K34" s="229" t="s">
        <v>166</v>
      </c>
      <c r="L34" s="229" t="s">
        <v>167</v>
      </c>
      <c r="M34" s="230" t="s">
        <v>168</v>
      </c>
      <c r="N34" s="112" t="s">
        <v>169</v>
      </c>
      <c r="O34" s="65" t="str">
        <f t="shared" si="3"/>
        <v>firstCat_var</v>
      </c>
      <c r="P34" s="66" t="str">
        <f t="shared" si="4"/>
        <v>字符串</v>
      </c>
      <c r="Q34" s="67"/>
      <c r="R34" s="69"/>
      <c r="S34" s="61"/>
      <c r="T34" s="61"/>
      <c r="U34" s="116" t="s">
        <v>129</v>
      </c>
      <c r="V34" s="117"/>
      <c r="W34" s="117"/>
      <c r="X34" s="117"/>
      <c r="Y34" s="118" t="s">
        <v>92</v>
      </c>
      <c r="Z34" s="119"/>
      <c r="AA34" s="120" t="s">
        <v>92</v>
      </c>
      <c r="AB34" s="119"/>
      <c r="AC34" s="120" t="s">
        <v>92</v>
      </c>
      <c r="AD34" s="121"/>
      <c r="AE34" s="118" t="s">
        <v>92</v>
      </c>
      <c r="AF34" s="122"/>
    </row>
    <row r="35" spans="1:32" ht="19" x14ac:dyDescent="0.15">
      <c r="A35" s="61" t="s">
        <v>170</v>
      </c>
      <c r="B35" s="61" t="s">
        <v>171</v>
      </c>
      <c r="C35" s="61" t="s">
        <v>172</v>
      </c>
      <c r="D35" s="13"/>
      <c r="E35" s="227"/>
      <c r="F35" s="223"/>
      <c r="G35" s="223"/>
      <c r="H35" s="223"/>
      <c r="I35" s="223"/>
      <c r="J35" s="223"/>
      <c r="K35" s="223"/>
      <c r="L35" s="223"/>
      <c r="M35" s="223"/>
      <c r="N35" s="112" t="s">
        <v>173</v>
      </c>
      <c r="O35" s="65" t="str">
        <f t="shared" si="3"/>
        <v>sndCat_var</v>
      </c>
      <c r="P35" s="66" t="str">
        <f t="shared" si="4"/>
        <v>字符串</v>
      </c>
      <c r="Q35" s="67"/>
      <c r="R35" s="69"/>
      <c r="S35" s="61"/>
      <c r="T35" s="61"/>
      <c r="U35" s="108"/>
      <c r="V35" s="123"/>
      <c r="W35" s="123"/>
      <c r="X35" s="123"/>
      <c r="Y35" s="124"/>
      <c r="Z35" s="124"/>
      <c r="AA35" s="124"/>
      <c r="AB35" s="124"/>
      <c r="AC35" s="61"/>
      <c r="AD35" s="2"/>
      <c r="AE35" s="2"/>
      <c r="AF35" s="122"/>
    </row>
    <row r="36" spans="1:32" ht="19" x14ac:dyDescent="0.15">
      <c r="A36" s="61" t="s">
        <v>174</v>
      </c>
      <c r="B36" s="61" t="s">
        <v>175</v>
      </c>
      <c r="C36" s="115" t="s">
        <v>176</v>
      </c>
      <c r="D36" s="13"/>
      <c r="E36" s="227"/>
      <c r="F36" s="223"/>
      <c r="G36" s="223"/>
      <c r="H36" s="223"/>
      <c r="I36" s="223"/>
      <c r="J36" s="223"/>
      <c r="K36" s="223"/>
      <c r="L36" s="223"/>
      <c r="M36" s="223"/>
      <c r="N36" s="112" t="s">
        <v>177</v>
      </c>
      <c r="O36" s="65" t="str">
        <f t="shared" si="3"/>
        <v>thirdCat_var</v>
      </c>
      <c r="P36" s="66" t="str">
        <f t="shared" si="4"/>
        <v>字符串</v>
      </c>
      <c r="Q36" s="67"/>
      <c r="R36" s="69"/>
      <c r="S36" s="61"/>
      <c r="T36" s="61"/>
      <c r="U36" s="108"/>
      <c r="V36" s="123"/>
      <c r="W36" s="123"/>
      <c r="X36" s="123"/>
      <c r="Y36" s="124"/>
      <c r="Z36" s="124"/>
      <c r="AA36" s="124"/>
      <c r="AB36" s="124"/>
      <c r="AC36" s="61"/>
      <c r="AD36" s="2"/>
      <c r="AE36" s="2"/>
      <c r="AF36" s="122"/>
    </row>
    <row r="37" spans="1:32" ht="19" x14ac:dyDescent="0.15">
      <c r="A37" s="61" t="s">
        <v>178</v>
      </c>
      <c r="B37" s="61" t="s">
        <v>179</v>
      </c>
      <c r="C37" s="61" t="s">
        <v>180</v>
      </c>
      <c r="D37" s="13"/>
      <c r="E37" s="227"/>
      <c r="F37" s="223"/>
      <c r="G37" s="223"/>
      <c r="H37" s="223"/>
      <c r="I37" s="223"/>
      <c r="J37" s="223"/>
      <c r="K37" s="223"/>
      <c r="L37" s="223"/>
      <c r="M37" s="223"/>
      <c r="N37" s="112" t="s">
        <v>181</v>
      </c>
      <c r="O37" s="65" t="str">
        <f t="shared" si="3"/>
        <v>productId_var</v>
      </c>
      <c r="P37" s="66" t="str">
        <f t="shared" si="4"/>
        <v>字符串</v>
      </c>
      <c r="Q37" s="67"/>
      <c r="R37" s="69"/>
      <c r="S37" s="61"/>
      <c r="T37" s="61"/>
      <c r="U37" s="108"/>
      <c r="V37" s="123"/>
      <c r="W37" s="123"/>
      <c r="X37" s="123"/>
      <c r="Y37" s="124"/>
      <c r="Z37" s="124"/>
      <c r="AA37" s="124"/>
      <c r="AB37" s="124"/>
      <c r="AC37" s="61"/>
      <c r="AD37" s="2"/>
      <c r="AE37" s="2"/>
      <c r="AF37" s="122"/>
    </row>
    <row r="38" spans="1:32" ht="19" x14ac:dyDescent="0.15">
      <c r="A38" s="61" t="s">
        <v>182</v>
      </c>
      <c r="B38" s="61" t="s">
        <v>183</v>
      </c>
      <c r="C38" s="61" t="s">
        <v>184</v>
      </c>
      <c r="D38" s="13"/>
      <c r="E38" s="227"/>
      <c r="F38" s="224"/>
      <c r="G38" s="224"/>
      <c r="H38" s="224"/>
      <c r="I38" s="224"/>
      <c r="J38" s="224"/>
      <c r="K38" s="224"/>
      <c r="L38" s="224"/>
      <c r="M38" s="224"/>
      <c r="N38" s="110" t="s">
        <v>91</v>
      </c>
      <c r="O38" s="65" t="str">
        <f t="shared" si="3"/>
        <v>productName_var</v>
      </c>
      <c r="P38" s="66" t="str">
        <f t="shared" si="4"/>
        <v>字符串</v>
      </c>
      <c r="Q38" s="67"/>
      <c r="R38" s="69"/>
      <c r="S38" s="61"/>
      <c r="T38" s="61"/>
      <c r="U38" s="114"/>
      <c r="V38" s="123"/>
      <c r="W38" s="123"/>
      <c r="X38" s="123"/>
      <c r="Y38" s="124"/>
      <c r="Z38" s="124"/>
      <c r="AA38" s="124"/>
      <c r="AB38" s="124"/>
      <c r="AC38" s="61"/>
      <c r="AD38" s="2"/>
      <c r="AE38" s="2"/>
      <c r="AF38" s="122"/>
    </row>
    <row r="39" spans="1:32" ht="18" x14ac:dyDescent="0.15">
      <c r="A39" s="61" t="s">
        <v>185</v>
      </c>
      <c r="B39" s="61" t="s">
        <v>186</v>
      </c>
      <c r="C39" s="61" t="s">
        <v>187</v>
      </c>
      <c r="D39" s="13"/>
      <c r="E39" s="227"/>
      <c r="F39" s="266" t="s">
        <v>188</v>
      </c>
      <c r="G39" s="267" t="s">
        <v>189</v>
      </c>
      <c r="H39" s="225">
        <v>3</v>
      </c>
      <c r="I39" s="265" t="s">
        <v>190</v>
      </c>
      <c r="J39" s="265" t="s">
        <v>191</v>
      </c>
      <c r="K39" s="265" t="s">
        <v>192</v>
      </c>
      <c r="L39" s="222" t="s">
        <v>193</v>
      </c>
      <c r="M39" s="265" t="s">
        <v>194</v>
      </c>
      <c r="N39" s="110" t="s">
        <v>195</v>
      </c>
      <c r="O39" s="65" t="str">
        <f t="shared" si="3"/>
        <v>productId_var</v>
      </c>
      <c r="P39" s="66" t="str">
        <f t="shared" si="4"/>
        <v>字符串</v>
      </c>
      <c r="Q39" s="125"/>
      <c r="R39" s="125"/>
      <c r="S39" s="125"/>
      <c r="T39" s="61"/>
      <c r="U39" s="116" t="s">
        <v>81</v>
      </c>
      <c r="V39" s="117"/>
      <c r="W39" s="117"/>
      <c r="X39" s="117"/>
      <c r="Y39" s="126"/>
      <c r="Z39" s="126"/>
      <c r="AA39" s="126"/>
      <c r="AB39" s="126"/>
      <c r="AC39" s="126"/>
      <c r="AD39" s="2"/>
      <c r="AE39" s="2"/>
      <c r="AF39" s="2"/>
    </row>
    <row r="40" spans="1:32" ht="18" x14ac:dyDescent="0.15">
      <c r="A40" s="61" t="s">
        <v>196</v>
      </c>
      <c r="B40" s="61" t="s">
        <v>197</v>
      </c>
      <c r="C40" s="61" t="s">
        <v>198</v>
      </c>
      <c r="D40" s="13"/>
      <c r="E40" s="227"/>
      <c r="F40" s="223"/>
      <c r="G40" s="223"/>
      <c r="H40" s="223"/>
      <c r="I40" s="223"/>
      <c r="J40" s="223"/>
      <c r="K40" s="223"/>
      <c r="L40" s="223"/>
      <c r="M40" s="223"/>
      <c r="N40" s="110" t="s">
        <v>158</v>
      </c>
      <c r="O40" s="65" t="str">
        <f t="shared" si="3"/>
        <v>firstCat_var</v>
      </c>
      <c r="P40" s="66" t="str">
        <f t="shared" si="4"/>
        <v>字符串</v>
      </c>
      <c r="Q40" s="125"/>
      <c r="R40" s="125"/>
      <c r="S40" s="125"/>
      <c r="T40" s="61"/>
      <c r="U40" s="108"/>
      <c r="V40" s="123"/>
      <c r="W40" s="123"/>
      <c r="X40" s="123"/>
      <c r="Y40" s="126"/>
      <c r="Z40" s="126"/>
      <c r="AA40" s="126"/>
      <c r="AB40" s="126"/>
      <c r="AC40" s="126"/>
      <c r="AD40" s="2"/>
      <c r="AE40" s="2"/>
      <c r="AF40" s="2"/>
    </row>
    <row r="41" spans="1:32" ht="18" x14ac:dyDescent="0.15">
      <c r="A41" s="61" t="s">
        <v>199</v>
      </c>
      <c r="B41" s="61" t="s">
        <v>200</v>
      </c>
      <c r="C41" s="61" t="s">
        <v>201</v>
      </c>
      <c r="D41" s="13"/>
      <c r="E41" s="227"/>
      <c r="F41" s="223"/>
      <c r="G41" s="223"/>
      <c r="H41" s="223"/>
      <c r="I41" s="223"/>
      <c r="J41" s="223"/>
      <c r="K41" s="223"/>
      <c r="L41" s="223"/>
      <c r="M41" s="223"/>
      <c r="N41" s="110" t="s">
        <v>158</v>
      </c>
      <c r="O41" s="65" t="str">
        <f t="shared" si="3"/>
        <v>firstCat_var</v>
      </c>
      <c r="P41" s="66" t="str">
        <f t="shared" si="4"/>
        <v>字符串</v>
      </c>
      <c r="Q41" s="125"/>
      <c r="R41" s="125"/>
      <c r="S41" s="125"/>
      <c r="T41" s="61"/>
      <c r="U41" s="108"/>
      <c r="V41" s="123"/>
      <c r="W41" s="123"/>
      <c r="X41" s="123"/>
      <c r="Y41" s="126"/>
      <c r="Z41" s="126"/>
      <c r="AA41" s="126"/>
      <c r="AB41" s="126"/>
      <c r="AC41" s="126"/>
      <c r="AD41" s="2"/>
      <c r="AE41" s="2"/>
      <c r="AF41" s="2"/>
    </row>
    <row r="42" spans="1:32" ht="18" x14ac:dyDescent="0.15">
      <c r="A42" s="61" t="s">
        <v>202</v>
      </c>
      <c r="B42" s="61" t="s">
        <v>203</v>
      </c>
      <c r="C42" s="61" t="s">
        <v>204</v>
      </c>
      <c r="D42" s="13"/>
      <c r="E42" s="227"/>
      <c r="F42" s="223"/>
      <c r="G42" s="223"/>
      <c r="H42" s="223"/>
      <c r="I42" s="223"/>
      <c r="J42" s="223"/>
      <c r="K42" s="223"/>
      <c r="L42" s="223"/>
      <c r="M42" s="223"/>
      <c r="N42" s="110" t="s">
        <v>134</v>
      </c>
      <c r="O42" s="65" t="str">
        <f t="shared" si="3"/>
        <v>sndCat_var</v>
      </c>
      <c r="P42" s="66" t="str">
        <f t="shared" si="4"/>
        <v>字符串</v>
      </c>
      <c r="Q42" s="125"/>
      <c r="R42" s="125"/>
      <c r="S42" s="125"/>
      <c r="T42" s="61"/>
      <c r="U42" s="108"/>
      <c r="V42" s="123"/>
      <c r="W42" s="123"/>
      <c r="X42" s="123"/>
      <c r="Y42" s="126"/>
      <c r="Z42" s="126"/>
      <c r="AA42" s="126"/>
      <c r="AB42" s="126"/>
      <c r="AC42" s="126"/>
      <c r="AD42" s="2"/>
      <c r="AE42" s="2"/>
      <c r="AF42" s="2"/>
    </row>
    <row r="43" spans="1:32" ht="18" x14ac:dyDescent="0.15">
      <c r="A43" s="61" t="s">
        <v>205</v>
      </c>
      <c r="B43" s="61" t="s">
        <v>206</v>
      </c>
      <c r="C43" s="61" t="s">
        <v>207</v>
      </c>
      <c r="D43" s="13"/>
      <c r="E43" s="227"/>
      <c r="F43" s="224"/>
      <c r="G43" s="224"/>
      <c r="H43" s="224"/>
      <c r="I43" s="224"/>
      <c r="J43" s="224"/>
      <c r="K43" s="224"/>
      <c r="L43" s="224"/>
      <c r="M43" s="224"/>
      <c r="N43" s="110" t="s">
        <v>138</v>
      </c>
      <c r="O43" s="65" t="str">
        <f t="shared" si="3"/>
        <v>thirdCat_var</v>
      </c>
      <c r="P43" s="66" t="str">
        <f t="shared" si="4"/>
        <v>字符串</v>
      </c>
      <c r="Q43" s="125"/>
      <c r="R43" s="125"/>
      <c r="S43" s="125"/>
      <c r="T43" s="61"/>
      <c r="U43" s="114"/>
      <c r="V43" s="123"/>
      <c r="W43" s="123"/>
      <c r="X43" s="123"/>
      <c r="Y43" s="126"/>
      <c r="Z43" s="126"/>
      <c r="AA43" s="126"/>
      <c r="AB43" s="126"/>
      <c r="AC43" s="126"/>
      <c r="AD43" s="2"/>
      <c r="AE43" s="2"/>
      <c r="AF43" s="2"/>
    </row>
    <row r="44" spans="1:32" ht="18" x14ac:dyDescent="0.15">
      <c r="A44" s="61" t="s">
        <v>208</v>
      </c>
      <c r="B44" s="61" t="s">
        <v>209</v>
      </c>
      <c r="C44" s="61" t="s">
        <v>210</v>
      </c>
      <c r="D44" s="13"/>
      <c r="E44" s="227"/>
      <c r="F44" s="270" t="s">
        <v>211</v>
      </c>
      <c r="G44" s="271" t="s">
        <v>212</v>
      </c>
      <c r="H44" s="225">
        <v>4</v>
      </c>
      <c r="I44" s="225" t="s">
        <v>213</v>
      </c>
      <c r="J44" s="225" t="s">
        <v>214</v>
      </c>
      <c r="K44" s="231" t="s">
        <v>215</v>
      </c>
      <c r="L44" s="222" t="s">
        <v>216</v>
      </c>
      <c r="M44" s="225" t="s">
        <v>217</v>
      </c>
      <c r="N44" s="110" t="s">
        <v>195</v>
      </c>
      <c r="O44" s="65" t="str">
        <f t="shared" si="3"/>
        <v>productId_var</v>
      </c>
      <c r="P44" s="66" t="str">
        <f t="shared" si="4"/>
        <v>字符串</v>
      </c>
      <c r="Q44" s="125"/>
      <c r="R44" s="125"/>
      <c r="S44" s="125"/>
      <c r="T44" s="61"/>
      <c r="U44" s="127" t="s">
        <v>129</v>
      </c>
      <c r="V44" s="128"/>
      <c r="W44" s="128"/>
      <c r="X44" s="128"/>
      <c r="Y44" s="126"/>
      <c r="Z44" s="126"/>
      <c r="AA44" s="126"/>
      <c r="AB44" s="126"/>
      <c r="AC44" s="126"/>
      <c r="AD44" s="2"/>
      <c r="AE44" s="2"/>
      <c r="AF44" s="2"/>
    </row>
    <row r="45" spans="1:32" ht="18" x14ac:dyDescent="0.15">
      <c r="A45" s="61"/>
      <c r="B45" s="61"/>
      <c r="C45" s="61"/>
      <c r="D45" s="13"/>
      <c r="E45" s="227"/>
      <c r="F45" s="223"/>
      <c r="G45" s="223"/>
      <c r="H45" s="223"/>
      <c r="I45" s="223"/>
      <c r="J45" s="223"/>
      <c r="K45" s="223"/>
      <c r="L45" s="223"/>
      <c r="M45" s="223"/>
      <c r="N45" s="110" t="s">
        <v>158</v>
      </c>
      <c r="O45" s="65" t="str">
        <f t="shared" si="3"/>
        <v>firstCat_var</v>
      </c>
      <c r="P45" s="66" t="str">
        <f t="shared" si="4"/>
        <v>字符串</v>
      </c>
      <c r="Q45" s="125"/>
      <c r="R45" s="125"/>
      <c r="S45" s="125"/>
      <c r="T45" s="61"/>
      <c r="U45" s="108"/>
      <c r="V45" s="123"/>
      <c r="W45" s="123"/>
      <c r="X45" s="123"/>
      <c r="Y45" s="126"/>
      <c r="Z45" s="126"/>
      <c r="AA45" s="126"/>
      <c r="AB45" s="126"/>
      <c r="AC45" s="126"/>
      <c r="AD45" s="2"/>
      <c r="AE45" s="2"/>
      <c r="AF45" s="2"/>
    </row>
    <row r="46" spans="1:32" ht="18" x14ac:dyDescent="0.15">
      <c r="A46" s="61"/>
      <c r="B46" s="61"/>
      <c r="C46" s="61"/>
      <c r="D46" s="13"/>
      <c r="E46" s="227"/>
      <c r="F46" s="223"/>
      <c r="G46" s="223"/>
      <c r="H46" s="223"/>
      <c r="I46" s="223"/>
      <c r="J46" s="223"/>
      <c r="K46" s="223"/>
      <c r="L46" s="223"/>
      <c r="M46" s="223"/>
      <c r="N46" s="110" t="s">
        <v>158</v>
      </c>
      <c r="O46" s="65" t="str">
        <f t="shared" si="3"/>
        <v>firstCat_var</v>
      </c>
      <c r="P46" s="66" t="str">
        <f t="shared" si="4"/>
        <v>字符串</v>
      </c>
      <c r="Q46" s="125"/>
      <c r="R46" s="125"/>
      <c r="S46" s="125"/>
      <c r="T46" s="61"/>
      <c r="U46" s="108"/>
      <c r="V46" s="123"/>
      <c r="W46" s="123"/>
      <c r="X46" s="123"/>
      <c r="Y46" s="126"/>
      <c r="Z46" s="126"/>
      <c r="AA46" s="126"/>
      <c r="AB46" s="126"/>
      <c r="AC46" s="126"/>
      <c r="AD46" s="2"/>
      <c r="AE46" s="2"/>
      <c r="AF46" s="2"/>
    </row>
    <row r="47" spans="1:32" ht="18" x14ac:dyDescent="0.15">
      <c r="A47" s="61"/>
      <c r="B47" s="61"/>
      <c r="C47" s="61"/>
      <c r="D47" s="13"/>
      <c r="E47" s="227"/>
      <c r="F47" s="223"/>
      <c r="G47" s="223"/>
      <c r="H47" s="223"/>
      <c r="I47" s="223"/>
      <c r="J47" s="223"/>
      <c r="K47" s="223"/>
      <c r="L47" s="223"/>
      <c r="M47" s="223"/>
      <c r="N47" s="110" t="s">
        <v>134</v>
      </c>
      <c r="O47" s="65" t="str">
        <f t="shared" si="3"/>
        <v>sndCat_var</v>
      </c>
      <c r="P47" s="66" t="str">
        <f t="shared" si="4"/>
        <v>字符串</v>
      </c>
      <c r="Q47" s="125"/>
      <c r="R47" s="125"/>
      <c r="S47" s="125"/>
      <c r="T47" s="61"/>
      <c r="U47" s="108"/>
      <c r="V47" s="123"/>
      <c r="W47" s="123"/>
      <c r="X47" s="123"/>
      <c r="Y47" s="126"/>
      <c r="Z47" s="126"/>
      <c r="AA47" s="126"/>
      <c r="AB47" s="126"/>
      <c r="AC47" s="126"/>
      <c r="AD47" s="2"/>
      <c r="AE47" s="2"/>
      <c r="AF47" s="2"/>
    </row>
    <row r="48" spans="1:32" ht="18" x14ac:dyDescent="0.15">
      <c r="A48" s="61"/>
      <c r="B48" s="61"/>
      <c r="C48" s="61"/>
      <c r="D48" s="13"/>
      <c r="E48" s="227"/>
      <c r="F48" s="224"/>
      <c r="G48" s="224"/>
      <c r="H48" s="224"/>
      <c r="I48" s="224"/>
      <c r="J48" s="224"/>
      <c r="K48" s="224"/>
      <c r="L48" s="224"/>
      <c r="M48" s="224"/>
      <c r="N48" s="110" t="s">
        <v>138</v>
      </c>
      <c r="O48" s="65" t="str">
        <f t="shared" si="3"/>
        <v>thirdCat_var</v>
      </c>
      <c r="P48" s="66" t="str">
        <f t="shared" si="4"/>
        <v>字符串</v>
      </c>
      <c r="Q48" s="125"/>
      <c r="R48" s="125"/>
      <c r="S48" s="125"/>
      <c r="T48" s="61"/>
      <c r="U48" s="108"/>
      <c r="V48" s="123"/>
      <c r="W48" s="123"/>
      <c r="X48" s="123"/>
      <c r="Y48" s="126"/>
      <c r="Z48" s="126"/>
      <c r="AA48" s="126"/>
      <c r="AB48" s="126"/>
      <c r="AC48" s="126"/>
      <c r="AD48" s="2"/>
      <c r="AE48" s="2"/>
      <c r="AF48" s="2"/>
    </row>
    <row r="49" spans="1:32" ht="18" x14ac:dyDescent="0.15">
      <c r="A49" s="61"/>
      <c r="B49" s="61"/>
      <c r="C49" s="61"/>
      <c r="D49" s="13"/>
      <c r="E49" s="227"/>
      <c r="F49" s="270" t="s">
        <v>218</v>
      </c>
      <c r="G49" s="271" t="s">
        <v>219</v>
      </c>
      <c r="H49" s="225">
        <v>5</v>
      </c>
      <c r="I49" s="225" t="s">
        <v>220</v>
      </c>
      <c r="J49" s="225" t="s">
        <v>221</v>
      </c>
      <c r="K49" s="225" t="s">
        <v>222</v>
      </c>
      <c r="L49" s="222" t="s">
        <v>223</v>
      </c>
      <c r="M49" s="225" t="s">
        <v>224</v>
      </c>
      <c r="N49" s="129" t="s">
        <v>195</v>
      </c>
      <c r="O49" s="65" t="str">
        <f t="shared" si="3"/>
        <v>productId_var</v>
      </c>
      <c r="P49" s="66" t="str">
        <f t="shared" si="4"/>
        <v>字符串</v>
      </c>
      <c r="Q49" s="125"/>
      <c r="R49" s="125"/>
      <c r="S49" s="125"/>
      <c r="T49" s="61"/>
      <c r="U49" s="127" t="s">
        <v>129</v>
      </c>
      <c r="V49" s="128"/>
      <c r="W49" s="128"/>
      <c r="X49" s="128"/>
      <c r="Y49" s="126"/>
      <c r="Z49" s="126"/>
      <c r="AA49" s="126"/>
      <c r="AB49" s="126"/>
      <c r="AC49" s="126"/>
      <c r="AD49" s="2"/>
      <c r="AE49" s="2"/>
      <c r="AF49" s="2"/>
    </row>
    <row r="50" spans="1:32" ht="18" x14ac:dyDescent="0.15">
      <c r="A50" s="61"/>
      <c r="B50" s="61"/>
      <c r="C50" s="61"/>
      <c r="D50" s="13"/>
      <c r="E50" s="227"/>
      <c r="F50" s="223"/>
      <c r="G50" s="223"/>
      <c r="H50" s="223"/>
      <c r="I50" s="223"/>
      <c r="J50" s="223"/>
      <c r="K50" s="223"/>
      <c r="L50" s="223"/>
      <c r="M50" s="223"/>
      <c r="N50" s="129" t="s">
        <v>225</v>
      </c>
      <c r="O50" s="65" t="str">
        <f t="shared" si="3"/>
        <v>orderId_var</v>
      </c>
      <c r="P50" s="66" t="str">
        <f t="shared" si="4"/>
        <v>字符串</v>
      </c>
      <c r="Q50" s="125"/>
      <c r="R50" s="125"/>
      <c r="S50" s="125"/>
      <c r="T50" s="61"/>
      <c r="U50" s="108"/>
      <c r="V50" s="123"/>
      <c r="W50" s="123"/>
      <c r="X50" s="123"/>
      <c r="Y50" s="126"/>
      <c r="Z50" s="126"/>
      <c r="AA50" s="126"/>
      <c r="AB50" s="126"/>
      <c r="AC50" s="126"/>
      <c r="AD50" s="2"/>
      <c r="AE50" s="2"/>
      <c r="AF50" s="2"/>
    </row>
    <row r="51" spans="1:32" ht="18" x14ac:dyDescent="0.15">
      <c r="A51" s="61"/>
      <c r="B51" s="61"/>
      <c r="C51" s="61"/>
      <c r="D51" s="13"/>
      <c r="E51" s="227"/>
      <c r="F51" s="223"/>
      <c r="G51" s="223"/>
      <c r="H51" s="223"/>
      <c r="I51" s="223"/>
      <c r="J51" s="223"/>
      <c r="K51" s="223"/>
      <c r="L51" s="223"/>
      <c r="M51" s="223"/>
      <c r="N51" s="129" t="s">
        <v>158</v>
      </c>
      <c r="O51" s="65" t="str">
        <f t="shared" si="3"/>
        <v>firstCat_var</v>
      </c>
      <c r="P51" s="66" t="str">
        <f t="shared" si="4"/>
        <v>字符串</v>
      </c>
      <c r="Q51" s="125"/>
      <c r="R51" s="125"/>
      <c r="S51" s="125"/>
      <c r="T51" s="61"/>
      <c r="U51" s="108"/>
      <c r="V51" s="123"/>
      <c r="W51" s="123"/>
      <c r="X51" s="123"/>
      <c r="Y51" s="126"/>
      <c r="Z51" s="126"/>
      <c r="AA51" s="126"/>
      <c r="AB51" s="126"/>
      <c r="AC51" s="126"/>
      <c r="AD51" s="2"/>
      <c r="AE51" s="2"/>
      <c r="AF51" s="2"/>
    </row>
    <row r="52" spans="1:32" ht="18" x14ac:dyDescent="0.15">
      <c r="A52" s="61"/>
      <c r="B52" s="61"/>
      <c r="C52" s="61"/>
      <c r="D52" s="13"/>
      <c r="E52" s="227"/>
      <c r="F52" s="223"/>
      <c r="G52" s="223"/>
      <c r="H52" s="223"/>
      <c r="I52" s="223"/>
      <c r="J52" s="223"/>
      <c r="K52" s="223"/>
      <c r="L52" s="223"/>
      <c r="M52" s="223"/>
      <c r="N52" s="129" t="s">
        <v>134</v>
      </c>
      <c r="O52" s="65" t="str">
        <f t="shared" si="3"/>
        <v>sndCat_var</v>
      </c>
      <c r="P52" s="66" t="str">
        <f t="shared" si="4"/>
        <v>字符串</v>
      </c>
      <c r="Q52" s="125"/>
      <c r="R52" s="125"/>
      <c r="S52" s="125"/>
      <c r="T52" s="61"/>
      <c r="U52" s="108"/>
      <c r="V52" s="123"/>
      <c r="W52" s="123"/>
      <c r="X52" s="123"/>
      <c r="Y52" s="126"/>
      <c r="Z52" s="126"/>
      <c r="AA52" s="126"/>
      <c r="AB52" s="126"/>
      <c r="AC52" s="126"/>
      <c r="AD52" s="2"/>
      <c r="AE52" s="2"/>
      <c r="AF52" s="2"/>
    </row>
    <row r="53" spans="1:32" ht="18" x14ac:dyDescent="0.15">
      <c r="A53" s="61"/>
      <c r="B53" s="61"/>
      <c r="C53" s="61"/>
      <c r="D53" s="13"/>
      <c r="E53" s="227"/>
      <c r="F53" s="224"/>
      <c r="G53" s="224"/>
      <c r="H53" s="224"/>
      <c r="I53" s="224"/>
      <c r="J53" s="224"/>
      <c r="K53" s="224"/>
      <c r="L53" s="224"/>
      <c r="M53" s="224"/>
      <c r="N53" s="129" t="s">
        <v>138</v>
      </c>
      <c r="O53" s="65" t="str">
        <f t="shared" si="3"/>
        <v>thirdCat_var</v>
      </c>
      <c r="P53" s="66" t="str">
        <f t="shared" si="4"/>
        <v>字符串</v>
      </c>
      <c r="Q53" s="125"/>
      <c r="R53" s="125"/>
      <c r="S53" s="125"/>
      <c r="T53" s="61"/>
      <c r="U53" s="114"/>
      <c r="V53" s="123"/>
      <c r="W53" s="123"/>
      <c r="X53" s="123"/>
      <c r="Y53" s="126"/>
      <c r="Z53" s="126"/>
      <c r="AA53" s="126"/>
      <c r="AB53" s="126"/>
      <c r="AC53" s="126"/>
      <c r="AD53" s="2"/>
      <c r="AE53" s="2"/>
      <c r="AF53" s="2"/>
    </row>
    <row r="54" spans="1:32" ht="18" x14ac:dyDescent="0.15">
      <c r="A54" s="61"/>
      <c r="B54" s="61"/>
      <c r="C54" s="61"/>
      <c r="D54" s="13"/>
      <c r="E54" s="227"/>
      <c r="F54" s="225"/>
      <c r="G54" s="65"/>
      <c r="H54" s="225">
        <v>6</v>
      </c>
      <c r="I54" s="225" t="s">
        <v>226</v>
      </c>
      <c r="J54" s="225" t="s">
        <v>227</v>
      </c>
      <c r="K54" s="225" t="s">
        <v>228</v>
      </c>
      <c r="L54" s="222" t="s">
        <v>229</v>
      </c>
      <c r="M54" s="225" t="s">
        <v>230</v>
      </c>
      <c r="N54" s="125"/>
      <c r="O54" s="65" t="str">
        <f t="shared" si="3"/>
        <v>-</v>
      </c>
      <c r="P54" s="66" t="str">
        <f t="shared" si="4"/>
        <v>-</v>
      </c>
      <c r="Q54" s="125"/>
      <c r="R54" s="125"/>
      <c r="S54" s="125"/>
      <c r="T54" s="61"/>
      <c r="U54" s="66"/>
      <c r="V54" s="128"/>
      <c r="W54" s="128"/>
      <c r="X54" s="128"/>
      <c r="Y54" s="126"/>
      <c r="Z54" s="126"/>
      <c r="AA54" s="126"/>
      <c r="AB54" s="126"/>
      <c r="AC54" s="126"/>
      <c r="AD54" s="2"/>
      <c r="AE54" s="2"/>
      <c r="AF54" s="2"/>
    </row>
    <row r="55" spans="1:32" ht="18" x14ac:dyDescent="0.15">
      <c r="A55" s="61"/>
      <c r="B55" s="61"/>
      <c r="C55" s="61"/>
      <c r="D55" s="13"/>
      <c r="E55" s="227"/>
      <c r="F55" s="223"/>
      <c r="G55" s="65"/>
      <c r="H55" s="223"/>
      <c r="I55" s="223"/>
      <c r="J55" s="223"/>
      <c r="K55" s="223"/>
      <c r="L55" s="223"/>
      <c r="M55" s="223"/>
      <c r="N55" s="125"/>
      <c r="O55" s="65" t="str">
        <f t="shared" si="3"/>
        <v>-</v>
      </c>
      <c r="P55" s="66" t="str">
        <f t="shared" si="4"/>
        <v>-</v>
      </c>
      <c r="Q55" s="125"/>
      <c r="R55" s="125"/>
      <c r="S55" s="125"/>
      <c r="T55" s="61"/>
      <c r="U55" s="66"/>
      <c r="V55" s="128"/>
      <c r="W55" s="128"/>
      <c r="X55" s="128"/>
      <c r="Y55" s="126"/>
      <c r="Z55" s="126"/>
      <c r="AA55" s="126"/>
      <c r="AB55" s="126"/>
      <c r="AC55" s="126"/>
      <c r="AD55" s="2"/>
      <c r="AE55" s="2"/>
      <c r="AF55" s="2"/>
    </row>
    <row r="56" spans="1:32" ht="18" x14ac:dyDescent="0.15">
      <c r="A56" s="61"/>
      <c r="B56" s="61"/>
      <c r="C56" s="61"/>
      <c r="D56" s="13"/>
      <c r="E56" s="227"/>
      <c r="F56" s="223"/>
      <c r="G56" s="65"/>
      <c r="H56" s="223"/>
      <c r="I56" s="223"/>
      <c r="J56" s="223"/>
      <c r="K56" s="223"/>
      <c r="L56" s="223"/>
      <c r="M56" s="223"/>
      <c r="N56" s="112"/>
      <c r="O56" s="65" t="str">
        <f t="shared" si="3"/>
        <v>-</v>
      </c>
      <c r="P56" s="66" t="str">
        <f t="shared" si="4"/>
        <v>-</v>
      </c>
      <c r="Q56" s="125"/>
      <c r="R56" s="125"/>
      <c r="S56" s="125"/>
      <c r="T56" s="61"/>
      <c r="U56" s="66"/>
      <c r="V56" s="128"/>
      <c r="W56" s="128"/>
      <c r="X56" s="128"/>
      <c r="Y56" s="126"/>
      <c r="Z56" s="126"/>
      <c r="AA56" s="126"/>
      <c r="AB56" s="126"/>
      <c r="AC56" s="126"/>
      <c r="AD56" s="2"/>
      <c r="AE56" s="2"/>
      <c r="AF56" s="2"/>
    </row>
    <row r="57" spans="1:32" ht="18" x14ac:dyDescent="0.15">
      <c r="A57" s="61"/>
      <c r="B57" s="61"/>
      <c r="C57" s="61"/>
      <c r="D57" s="13"/>
      <c r="E57" s="227"/>
      <c r="F57" s="223"/>
      <c r="G57" s="65"/>
      <c r="H57" s="223"/>
      <c r="I57" s="223"/>
      <c r="J57" s="223"/>
      <c r="K57" s="223"/>
      <c r="L57" s="223"/>
      <c r="M57" s="223"/>
      <c r="N57" s="112"/>
      <c r="O57" s="65" t="str">
        <f t="shared" si="3"/>
        <v>-</v>
      </c>
      <c r="P57" s="66" t="str">
        <f t="shared" si="4"/>
        <v>-</v>
      </c>
      <c r="Q57" s="125"/>
      <c r="R57" s="125"/>
      <c r="S57" s="125"/>
      <c r="T57" s="61"/>
      <c r="U57" s="66"/>
      <c r="V57" s="128"/>
      <c r="W57" s="128"/>
      <c r="X57" s="128"/>
      <c r="Y57" s="126"/>
      <c r="Z57" s="126"/>
      <c r="AA57" s="126"/>
      <c r="AB57" s="126"/>
      <c r="AC57" s="126"/>
      <c r="AD57" s="2"/>
      <c r="AE57" s="2"/>
      <c r="AF57" s="2"/>
    </row>
    <row r="58" spans="1:32" ht="18" x14ac:dyDescent="0.15">
      <c r="A58" s="61"/>
      <c r="B58" s="61"/>
      <c r="C58" s="61"/>
      <c r="D58" s="13"/>
      <c r="E58" s="227"/>
      <c r="F58" s="223"/>
      <c r="G58" s="65"/>
      <c r="H58" s="223"/>
      <c r="I58" s="223"/>
      <c r="J58" s="223"/>
      <c r="K58" s="223"/>
      <c r="L58" s="223"/>
      <c r="M58" s="223"/>
      <c r="N58" s="112"/>
      <c r="O58" s="65" t="str">
        <f t="shared" si="3"/>
        <v>-</v>
      </c>
      <c r="P58" s="66" t="str">
        <f t="shared" si="4"/>
        <v>-</v>
      </c>
      <c r="Q58" s="125"/>
      <c r="R58" s="125"/>
      <c r="S58" s="125"/>
      <c r="T58" s="61"/>
      <c r="U58" s="66"/>
      <c r="V58" s="128"/>
      <c r="W58" s="128"/>
      <c r="X58" s="128"/>
      <c r="Y58" s="126"/>
      <c r="Z58" s="126"/>
      <c r="AA58" s="126"/>
      <c r="AB58" s="126"/>
      <c r="AC58" s="126"/>
      <c r="AD58" s="2"/>
      <c r="AE58" s="2"/>
      <c r="AF58" s="2"/>
    </row>
    <row r="59" spans="1:32" ht="18" x14ac:dyDescent="0.15">
      <c r="A59" s="61"/>
      <c r="B59" s="61"/>
      <c r="C59" s="61"/>
      <c r="D59" s="13"/>
      <c r="E59" s="227"/>
      <c r="F59" s="223"/>
      <c r="G59" s="65"/>
      <c r="H59" s="223"/>
      <c r="I59" s="223"/>
      <c r="J59" s="223"/>
      <c r="K59" s="223"/>
      <c r="L59" s="223"/>
      <c r="M59" s="223"/>
      <c r="N59" s="112"/>
      <c r="O59" s="65" t="str">
        <f t="shared" si="3"/>
        <v>-</v>
      </c>
      <c r="P59" s="66" t="str">
        <f t="shared" si="4"/>
        <v>-</v>
      </c>
      <c r="Q59" s="125"/>
      <c r="R59" s="125"/>
      <c r="S59" s="125"/>
      <c r="T59" s="61"/>
      <c r="U59" s="66"/>
      <c r="V59" s="128"/>
      <c r="W59" s="128"/>
      <c r="X59" s="128"/>
      <c r="Y59" s="126"/>
      <c r="Z59" s="126"/>
      <c r="AA59" s="126"/>
      <c r="AB59" s="126"/>
      <c r="AC59" s="126"/>
      <c r="AD59" s="2"/>
      <c r="AE59" s="2"/>
      <c r="AF59" s="2"/>
    </row>
    <row r="60" spans="1:32" ht="18" x14ac:dyDescent="0.15">
      <c r="A60" s="61"/>
      <c r="B60" s="61"/>
      <c r="C60" s="61"/>
      <c r="D60" s="13"/>
      <c r="E60" s="227"/>
      <c r="F60" s="223"/>
      <c r="G60" s="65"/>
      <c r="H60" s="223"/>
      <c r="I60" s="223"/>
      <c r="J60" s="223"/>
      <c r="K60" s="223"/>
      <c r="L60" s="223"/>
      <c r="M60" s="223"/>
      <c r="N60" s="112"/>
      <c r="O60" s="65" t="str">
        <f t="shared" si="3"/>
        <v>-</v>
      </c>
      <c r="P60" s="66" t="str">
        <f t="shared" si="4"/>
        <v>-</v>
      </c>
      <c r="Q60" s="125"/>
      <c r="R60" s="125"/>
      <c r="S60" s="125"/>
      <c r="T60" s="61"/>
      <c r="U60" s="66"/>
      <c r="V60" s="128"/>
      <c r="W60" s="128"/>
      <c r="X60" s="128"/>
      <c r="Y60" s="126"/>
      <c r="Z60" s="126"/>
      <c r="AA60" s="126"/>
      <c r="AB60" s="126"/>
      <c r="AC60" s="126"/>
      <c r="AD60" s="2"/>
      <c r="AE60" s="2"/>
      <c r="AF60" s="2"/>
    </row>
    <row r="61" spans="1:32" ht="18" x14ac:dyDescent="0.15">
      <c r="A61" s="61"/>
      <c r="B61" s="61"/>
      <c r="C61" s="61"/>
      <c r="D61" s="13"/>
      <c r="E61" s="227"/>
      <c r="F61" s="224"/>
      <c r="G61" s="65"/>
      <c r="H61" s="224"/>
      <c r="I61" s="224"/>
      <c r="J61" s="224"/>
      <c r="K61" s="224"/>
      <c r="L61" s="224"/>
      <c r="M61" s="224"/>
      <c r="N61" s="125"/>
      <c r="O61" s="65" t="str">
        <f t="shared" si="3"/>
        <v>-</v>
      </c>
      <c r="P61" s="66" t="str">
        <f t="shared" si="4"/>
        <v>-</v>
      </c>
      <c r="Q61" s="125"/>
      <c r="R61" s="125"/>
      <c r="S61" s="125"/>
      <c r="T61" s="61"/>
      <c r="U61" s="66"/>
      <c r="V61" s="128"/>
      <c r="W61" s="128"/>
      <c r="X61" s="128"/>
      <c r="Y61" s="126"/>
      <c r="Z61" s="126"/>
      <c r="AA61" s="126"/>
      <c r="AB61" s="126"/>
      <c r="AC61" s="126"/>
      <c r="AD61" s="2"/>
      <c r="AE61" s="2"/>
      <c r="AF61" s="2"/>
    </row>
    <row r="62" spans="1:32" ht="18" x14ac:dyDescent="0.15">
      <c r="A62" s="61"/>
      <c r="B62" s="61"/>
      <c r="C62" s="61"/>
      <c r="D62" s="13"/>
      <c r="E62" s="227"/>
      <c r="F62" s="225"/>
      <c r="G62" s="65"/>
      <c r="H62" s="225">
        <v>7</v>
      </c>
      <c r="I62" s="225" t="s">
        <v>231</v>
      </c>
      <c r="J62" s="225" t="s">
        <v>232</v>
      </c>
      <c r="K62" s="225" t="s">
        <v>233</v>
      </c>
      <c r="L62" s="222" t="s">
        <v>234</v>
      </c>
      <c r="M62" s="225" t="s">
        <v>235</v>
      </c>
      <c r="N62" s="125"/>
      <c r="O62" s="65" t="str">
        <f t="shared" si="3"/>
        <v>-</v>
      </c>
      <c r="P62" s="66" t="str">
        <f t="shared" si="4"/>
        <v>-</v>
      </c>
      <c r="Q62" s="125"/>
      <c r="R62" s="125"/>
      <c r="S62" s="125"/>
      <c r="T62" s="61"/>
      <c r="U62" s="66"/>
      <c r="V62" s="128"/>
      <c r="W62" s="128"/>
      <c r="X62" s="128"/>
      <c r="Y62" s="126"/>
      <c r="Z62" s="126"/>
      <c r="AA62" s="126"/>
      <c r="AB62" s="126"/>
      <c r="AC62" s="126"/>
      <c r="AD62" s="2"/>
      <c r="AE62" s="2"/>
      <c r="AF62" s="2"/>
    </row>
    <row r="63" spans="1:32" ht="18" x14ac:dyDescent="0.15">
      <c r="A63" s="61"/>
      <c r="B63" s="61"/>
      <c r="C63" s="61"/>
      <c r="D63" s="13"/>
      <c r="E63" s="227"/>
      <c r="F63" s="223"/>
      <c r="G63" s="65"/>
      <c r="H63" s="223"/>
      <c r="I63" s="223"/>
      <c r="J63" s="223"/>
      <c r="K63" s="223"/>
      <c r="L63" s="223"/>
      <c r="M63" s="223"/>
      <c r="N63" s="125"/>
      <c r="O63" s="65" t="str">
        <f t="shared" si="3"/>
        <v>-</v>
      </c>
      <c r="P63" s="66" t="str">
        <f t="shared" si="4"/>
        <v>-</v>
      </c>
      <c r="Q63" s="125"/>
      <c r="R63" s="125"/>
      <c r="S63" s="125"/>
      <c r="T63" s="61"/>
      <c r="U63" s="66"/>
      <c r="V63" s="128"/>
      <c r="W63" s="128"/>
      <c r="X63" s="128"/>
      <c r="Y63" s="126"/>
      <c r="Z63" s="126"/>
      <c r="AA63" s="126"/>
      <c r="AB63" s="126"/>
      <c r="AC63" s="126"/>
      <c r="AD63" s="2"/>
      <c r="AE63" s="2"/>
      <c r="AF63" s="2"/>
    </row>
    <row r="64" spans="1:32" ht="18" x14ac:dyDescent="0.15">
      <c r="A64" s="61"/>
      <c r="B64" s="61"/>
      <c r="C64" s="61"/>
      <c r="D64" s="13"/>
      <c r="E64" s="227"/>
      <c r="F64" s="223"/>
      <c r="G64" s="65"/>
      <c r="H64" s="223"/>
      <c r="I64" s="223"/>
      <c r="J64" s="223"/>
      <c r="K64" s="223"/>
      <c r="L64" s="223"/>
      <c r="M64" s="223"/>
      <c r="N64" s="125"/>
      <c r="O64" s="65" t="str">
        <f t="shared" si="3"/>
        <v>-</v>
      </c>
      <c r="P64" s="66" t="str">
        <f t="shared" si="4"/>
        <v>-</v>
      </c>
      <c r="Q64" s="125"/>
      <c r="R64" s="125"/>
      <c r="S64" s="125"/>
      <c r="T64" s="61"/>
      <c r="U64" s="66"/>
      <c r="V64" s="128"/>
      <c r="W64" s="128"/>
      <c r="X64" s="128"/>
      <c r="Y64" s="126"/>
      <c r="Z64" s="126"/>
      <c r="AA64" s="126"/>
      <c r="AB64" s="126"/>
      <c r="AC64" s="126"/>
      <c r="AD64" s="2"/>
      <c r="AE64" s="2"/>
      <c r="AF64" s="2"/>
    </row>
    <row r="65" spans="1:32" ht="18" x14ac:dyDescent="0.15">
      <c r="A65" s="61"/>
      <c r="B65" s="61"/>
      <c r="C65" s="61"/>
      <c r="D65" s="13"/>
      <c r="E65" s="227"/>
      <c r="F65" s="223"/>
      <c r="G65" s="65"/>
      <c r="H65" s="223"/>
      <c r="I65" s="223"/>
      <c r="J65" s="223"/>
      <c r="K65" s="223"/>
      <c r="L65" s="223"/>
      <c r="M65" s="223"/>
      <c r="N65" s="125"/>
      <c r="O65" s="65" t="str">
        <f t="shared" si="3"/>
        <v>-</v>
      </c>
      <c r="P65" s="66" t="str">
        <f t="shared" si="4"/>
        <v>-</v>
      </c>
      <c r="Q65" s="125"/>
      <c r="R65" s="125"/>
      <c r="S65" s="125"/>
      <c r="T65" s="61"/>
      <c r="U65" s="66"/>
      <c r="V65" s="128"/>
      <c r="W65" s="128"/>
      <c r="X65" s="128"/>
      <c r="Y65" s="126"/>
      <c r="Z65" s="130"/>
      <c r="AA65" s="130"/>
      <c r="AB65" s="130"/>
      <c r="AC65" s="130"/>
      <c r="AD65" s="2"/>
      <c r="AE65" s="2"/>
      <c r="AF65" s="2"/>
    </row>
    <row r="66" spans="1:32" ht="18" x14ac:dyDescent="0.15">
      <c r="A66" s="61"/>
      <c r="B66" s="61"/>
      <c r="C66" s="61"/>
      <c r="D66" s="13"/>
      <c r="E66" s="227"/>
      <c r="F66" s="224"/>
      <c r="G66" s="65"/>
      <c r="H66" s="224"/>
      <c r="I66" s="224"/>
      <c r="J66" s="224"/>
      <c r="K66" s="224"/>
      <c r="L66" s="224"/>
      <c r="M66" s="224"/>
      <c r="N66" s="125"/>
      <c r="O66" s="65" t="str">
        <f t="shared" si="3"/>
        <v>-</v>
      </c>
      <c r="P66" s="66" t="str">
        <f t="shared" si="4"/>
        <v>-</v>
      </c>
      <c r="Q66" s="125"/>
      <c r="R66" s="125"/>
      <c r="S66" s="125"/>
      <c r="T66" s="61"/>
      <c r="U66" s="66"/>
      <c r="V66" s="128"/>
      <c r="W66" s="128"/>
      <c r="X66" s="128"/>
      <c r="Y66" s="126"/>
      <c r="Z66" s="131"/>
      <c r="AA66" s="131"/>
      <c r="AB66" s="131"/>
      <c r="AC66" s="131"/>
      <c r="AD66" s="2"/>
      <c r="AE66" s="2"/>
      <c r="AF66" s="2"/>
    </row>
    <row r="67" spans="1:32" ht="90" x14ac:dyDescent="0.15">
      <c r="A67" s="61"/>
      <c r="B67" s="61"/>
      <c r="C67" s="61"/>
      <c r="D67" s="13"/>
      <c r="E67" s="227"/>
      <c r="F67" s="65"/>
      <c r="G67" s="65"/>
      <c r="H67" s="65">
        <v>8</v>
      </c>
      <c r="I67" s="65" t="s">
        <v>236</v>
      </c>
      <c r="J67" s="65" t="s">
        <v>237</v>
      </c>
      <c r="K67" s="65" t="s">
        <v>238</v>
      </c>
      <c r="L67" s="65" t="s">
        <v>239</v>
      </c>
      <c r="M67" s="65" t="s">
        <v>240</v>
      </c>
      <c r="N67" s="125"/>
      <c r="O67" s="65" t="str">
        <f t="shared" si="3"/>
        <v>-</v>
      </c>
      <c r="P67" s="66" t="str">
        <f t="shared" si="4"/>
        <v>-</v>
      </c>
      <c r="Q67" s="125"/>
      <c r="R67" s="125"/>
      <c r="S67" s="125"/>
      <c r="T67" s="61"/>
      <c r="U67" s="66"/>
      <c r="V67" s="128"/>
      <c r="W67" s="128"/>
      <c r="X67" s="128"/>
      <c r="Y67" s="126"/>
      <c r="Z67" s="131"/>
      <c r="AA67" s="131"/>
      <c r="AB67" s="131"/>
      <c r="AC67" s="131"/>
      <c r="AD67" s="2"/>
      <c r="AE67" s="2"/>
      <c r="AF67" s="2"/>
    </row>
    <row r="68" spans="1:32" ht="18" x14ac:dyDescent="0.15">
      <c r="A68" s="61"/>
      <c r="B68" s="61"/>
      <c r="C68" s="61"/>
      <c r="D68" s="13"/>
      <c r="E68" s="213"/>
      <c r="F68" s="65"/>
      <c r="G68" s="65"/>
      <c r="H68" s="65"/>
      <c r="I68" s="65"/>
      <c r="J68" s="65"/>
      <c r="K68" s="65"/>
      <c r="L68" s="65"/>
      <c r="M68" s="65"/>
      <c r="N68" s="125"/>
      <c r="O68" s="125"/>
      <c r="P68" s="125"/>
      <c r="Q68" s="125"/>
      <c r="R68" s="125"/>
      <c r="S68" s="125"/>
      <c r="T68" s="61"/>
      <c r="U68" s="66"/>
      <c r="V68" s="128"/>
      <c r="W68" s="128"/>
      <c r="X68" s="128"/>
      <c r="Y68" s="126"/>
      <c r="Z68" s="131"/>
      <c r="AA68" s="131"/>
      <c r="AB68" s="131"/>
      <c r="AC68" s="131"/>
      <c r="AD68" s="2"/>
      <c r="AE68" s="2"/>
      <c r="AF68" s="2"/>
    </row>
    <row r="69" spans="1:32" ht="12.75" customHeight="1" x14ac:dyDescent="0.15">
      <c r="A69" s="61"/>
      <c r="B69" s="61"/>
      <c r="C69" s="61"/>
      <c r="D69" s="13"/>
      <c r="E69" s="213"/>
      <c r="F69" s="65"/>
      <c r="G69" s="65"/>
      <c r="H69" s="65"/>
      <c r="I69" s="65"/>
      <c r="J69" s="65"/>
      <c r="K69" s="65"/>
      <c r="L69" s="65"/>
      <c r="M69" s="65"/>
      <c r="N69" s="112"/>
      <c r="O69" s="65"/>
      <c r="P69" s="125"/>
      <c r="Q69" s="125"/>
      <c r="R69" s="125"/>
      <c r="S69" s="125"/>
      <c r="T69" s="61"/>
      <c r="U69" s="66"/>
      <c r="V69" s="128"/>
      <c r="W69" s="128"/>
      <c r="X69" s="128"/>
      <c r="Y69" s="126"/>
      <c r="Z69" s="131"/>
      <c r="AA69" s="131"/>
      <c r="AB69" s="131"/>
      <c r="AC69" s="131"/>
      <c r="AD69" s="2"/>
      <c r="AE69" s="2"/>
      <c r="AF69" s="2"/>
    </row>
    <row r="70" spans="1:32" ht="12.75" customHeight="1" x14ac:dyDescent="0.15">
      <c r="A70" s="132"/>
      <c r="B70" s="132"/>
      <c r="C70" s="132"/>
      <c r="D70" s="13"/>
      <c r="E70" s="213"/>
      <c r="F70" s="65"/>
      <c r="G70" s="65"/>
      <c r="H70" s="65"/>
      <c r="I70" s="65"/>
      <c r="J70" s="65"/>
      <c r="K70" s="65"/>
      <c r="L70" s="65"/>
      <c r="M70" s="65"/>
      <c r="N70" s="112"/>
      <c r="O70" s="65"/>
      <c r="P70" s="125"/>
      <c r="Q70" s="125"/>
      <c r="R70" s="125"/>
      <c r="S70" s="125"/>
      <c r="T70" s="61"/>
      <c r="U70" s="66"/>
      <c r="V70" s="128"/>
      <c r="W70" s="128"/>
      <c r="X70" s="128"/>
      <c r="Y70" s="126"/>
      <c r="Z70" s="131"/>
      <c r="AA70" s="131"/>
      <c r="AB70" s="131"/>
      <c r="AC70" s="131"/>
      <c r="AD70" s="2"/>
      <c r="AE70" s="2"/>
      <c r="AF70" s="2"/>
    </row>
    <row r="71" spans="1:32" ht="12.75" customHeight="1" x14ac:dyDescent="0.15">
      <c r="A71" s="132"/>
      <c r="B71" s="132"/>
      <c r="C71" s="132"/>
      <c r="D71" s="13"/>
      <c r="E71" s="213"/>
      <c r="F71" s="65"/>
      <c r="G71" s="65"/>
      <c r="H71" s="65"/>
      <c r="I71" s="65"/>
      <c r="J71" s="65"/>
      <c r="K71" s="65"/>
      <c r="L71" s="65"/>
      <c r="M71" s="65"/>
      <c r="N71" s="112"/>
      <c r="O71" s="65"/>
      <c r="P71" s="125"/>
      <c r="Q71" s="125"/>
      <c r="R71" s="125"/>
      <c r="S71" s="125"/>
      <c r="T71" s="61"/>
      <c r="U71" s="66"/>
      <c r="V71" s="128"/>
      <c r="W71" s="128"/>
      <c r="X71" s="128"/>
      <c r="Y71" s="126"/>
      <c r="Z71" s="131"/>
      <c r="AA71" s="131"/>
      <c r="AB71" s="131"/>
      <c r="AC71" s="131"/>
      <c r="AD71" s="2"/>
      <c r="AE71" s="2"/>
      <c r="AF71" s="2"/>
    </row>
    <row r="72" spans="1:32" ht="12.75" customHeight="1" x14ac:dyDescent="0.15">
      <c r="A72" s="132"/>
      <c r="B72" s="132"/>
      <c r="C72" s="132"/>
      <c r="D72" s="13"/>
      <c r="E72" s="213"/>
      <c r="F72" s="65"/>
      <c r="G72" s="65"/>
      <c r="H72" s="65"/>
      <c r="I72" s="65"/>
      <c r="J72" s="65"/>
      <c r="K72" s="65"/>
      <c r="L72" s="65"/>
      <c r="M72" s="65"/>
      <c r="N72" s="112"/>
      <c r="O72" s="65"/>
      <c r="P72" s="125"/>
      <c r="Q72" s="125"/>
      <c r="R72" s="125"/>
      <c r="S72" s="125"/>
      <c r="T72" s="61"/>
      <c r="U72" s="66"/>
      <c r="V72" s="128"/>
      <c r="W72" s="128"/>
      <c r="X72" s="128"/>
      <c r="Y72" s="126"/>
      <c r="Z72" s="131"/>
      <c r="AA72" s="131"/>
      <c r="AB72" s="131"/>
      <c r="AC72" s="131"/>
      <c r="AD72" s="2"/>
      <c r="AE72" s="2"/>
      <c r="AF72" s="2"/>
    </row>
    <row r="73" spans="1:32" ht="12.75" customHeight="1" x14ac:dyDescent="0.15">
      <c r="A73" s="132"/>
      <c r="B73" s="132"/>
      <c r="C73" s="132"/>
      <c r="D73" s="13"/>
      <c r="E73" s="213"/>
      <c r="F73" s="65"/>
      <c r="G73" s="65"/>
      <c r="H73" s="65"/>
      <c r="I73" s="65"/>
      <c r="J73" s="65"/>
      <c r="K73" s="65"/>
      <c r="L73" s="65"/>
      <c r="M73" s="65"/>
      <c r="N73" s="112"/>
      <c r="O73" s="65"/>
      <c r="P73" s="125"/>
      <c r="Q73" s="125"/>
      <c r="R73" s="125"/>
      <c r="S73" s="125"/>
      <c r="T73" s="61"/>
      <c r="U73" s="66"/>
      <c r="V73" s="128"/>
      <c r="W73" s="128"/>
      <c r="X73" s="128"/>
      <c r="Y73" s="124"/>
      <c r="Z73" s="125"/>
      <c r="AA73" s="125"/>
      <c r="AB73" s="125"/>
      <c r="AC73" s="125"/>
      <c r="AD73" s="2"/>
      <c r="AE73" s="2"/>
      <c r="AF73" s="2"/>
    </row>
    <row r="74" spans="1:32" ht="12.75" customHeight="1" x14ac:dyDescent="0.15">
      <c r="A74" s="132"/>
      <c r="B74" s="132"/>
      <c r="C74" s="132"/>
      <c r="D74" s="13"/>
      <c r="E74" s="214"/>
      <c r="F74" s="65"/>
      <c r="G74" s="65"/>
      <c r="H74" s="65"/>
      <c r="I74" s="65"/>
      <c r="J74" s="65"/>
      <c r="K74" s="65"/>
      <c r="L74" s="65"/>
      <c r="M74" s="65"/>
      <c r="N74" s="125"/>
      <c r="O74" s="125"/>
      <c r="P74" s="125"/>
      <c r="Q74" s="125"/>
      <c r="R74" s="125"/>
      <c r="S74" s="125"/>
      <c r="T74" s="61"/>
      <c r="U74" s="66"/>
      <c r="V74" s="128"/>
      <c r="W74" s="128"/>
      <c r="X74" s="128"/>
      <c r="Y74" s="124"/>
      <c r="Z74" s="125"/>
      <c r="AA74" s="125"/>
      <c r="AB74" s="125"/>
      <c r="AC74" s="125"/>
      <c r="AD74" s="2"/>
      <c r="AE74" s="2"/>
      <c r="AF74" s="2"/>
    </row>
    <row r="75" spans="1:32" ht="12.75" customHeight="1" x14ac:dyDescent="0.15">
      <c r="A75" s="132"/>
      <c r="B75" s="132"/>
      <c r="C75" s="13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111"/>
      <c r="V75" s="111"/>
      <c r="W75" s="111"/>
      <c r="X75" s="111"/>
      <c r="Y75" s="2"/>
      <c r="Z75" s="2"/>
      <c r="AA75" s="2"/>
      <c r="AB75" s="2"/>
      <c r="AC75" s="2"/>
      <c r="AD75" s="2"/>
      <c r="AE75" s="2"/>
      <c r="AF75" s="2"/>
    </row>
    <row r="76" spans="1:32" ht="12.75" customHeight="1" x14ac:dyDescent="0.15">
      <c r="A76" s="132"/>
      <c r="B76" s="132"/>
      <c r="C76" s="13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111"/>
      <c r="V76" s="111"/>
      <c r="W76" s="111"/>
      <c r="X76" s="111"/>
      <c r="Y76" s="2"/>
      <c r="Z76" s="2"/>
      <c r="AA76" s="2"/>
      <c r="AB76" s="2"/>
      <c r="AC76" s="2"/>
      <c r="AD76" s="2"/>
      <c r="AE76" s="2"/>
      <c r="AF76" s="2"/>
    </row>
    <row r="77" spans="1:32" ht="12.75" customHeight="1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111"/>
      <c r="V77" s="111"/>
      <c r="W77" s="111"/>
      <c r="X77" s="111"/>
      <c r="Y77" s="2"/>
      <c r="Z77" s="2"/>
      <c r="AA77" s="2"/>
      <c r="AB77" s="2"/>
      <c r="AC77" s="2"/>
      <c r="AD77" s="2"/>
      <c r="AE77" s="2"/>
      <c r="AF77" s="2"/>
    </row>
    <row r="78" spans="1:32" ht="12.75" customHeight="1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111"/>
      <c r="V78" s="111"/>
      <c r="W78" s="111"/>
      <c r="X78" s="111"/>
      <c r="Y78" s="2"/>
      <c r="Z78" s="2"/>
      <c r="AA78" s="2"/>
      <c r="AB78" s="2"/>
      <c r="AC78" s="2"/>
      <c r="AD78" s="2"/>
      <c r="AE78" s="2"/>
      <c r="AF78" s="2"/>
    </row>
    <row r="79" spans="1:32" ht="12.75" customHeight="1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111"/>
      <c r="V79" s="111"/>
      <c r="W79" s="111"/>
      <c r="X79" s="111"/>
      <c r="Y79" s="2"/>
      <c r="Z79" s="2"/>
      <c r="AA79" s="2"/>
      <c r="AB79" s="2"/>
      <c r="AC79" s="2"/>
      <c r="AD79" s="2"/>
      <c r="AE79" s="2"/>
      <c r="AF79" s="2"/>
    </row>
    <row r="80" spans="1:32" ht="12.75" customHeight="1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111"/>
      <c r="V80" s="111"/>
      <c r="W80" s="111"/>
      <c r="X80" s="111"/>
      <c r="Y80" s="2"/>
      <c r="Z80" s="2"/>
      <c r="AA80" s="2"/>
      <c r="AB80" s="2"/>
      <c r="AC80" s="2"/>
      <c r="AD80" s="2"/>
      <c r="AE80" s="2"/>
      <c r="AF80" s="2"/>
    </row>
    <row r="81" spans="1:32" ht="12.75" customHeight="1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111"/>
      <c r="V81" s="111"/>
      <c r="W81" s="111"/>
      <c r="X81" s="111"/>
      <c r="Y81" s="2"/>
      <c r="Z81" s="2"/>
      <c r="AA81" s="2"/>
      <c r="AB81" s="2"/>
      <c r="AC81" s="2"/>
      <c r="AD81" s="2"/>
      <c r="AE81" s="2"/>
      <c r="AF81" s="2"/>
    </row>
    <row r="82" spans="1:32" ht="12.75" customHeight="1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111"/>
      <c r="V82" s="111"/>
      <c r="W82" s="111"/>
      <c r="X82" s="111"/>
      <c r="Y82" s="2"/>
      <c r="Z82" s="2"/>
      <c r="AA82" s="2"/>
      <c r="AB82" s="2"/>
      <c r="AC82" s="2"/>
      <c r="AD82" s="2"/>
      <c r="AE82" s="2"/>
      <c r="AF82" s="2"/>
    </row>
    <row r="83" spans="1:32" ht="12.75" customHeight="1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111"/>
      <c r="V83" s="111"/>
      <c r="W83" s="111"/>
      <c r="X83" s="111"/>
      <c r="Y83" s="2"/>
      <c r="Z83" s="2"/>
      <c r="AA83" s="2"/>
      <c r="AB83" s="2"/>
      <c r="AC83" s="2"/>
      <c r="AD83" s="2"/>
      <c r="AE83" s="2"/>
      <c r="AF83" s="2"/>
    </row>
    <row r="84" spans="1:32" ht="12.75" customHeight="1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111"/>
      <c r="V84" s="111"/>
      <c r="W84" s="111"/>
      <c r="X84" s="111"/>
      <c r="Y84" s="2"/>
      <c r="Z84" s="2"/>
      <c r="AA84" s="2"/>
      <c r="AB84" s="2"/>
      <c r="AC84" s="2"/>
      <c r="AD84" s="2"/>
      <c r="AE84" s="2"/>
      <c r="AF84" s="2"/>
    </row>
    <row r="85" spans="1:32" ht="12.75" customHeight="1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111"/>
      <c r="V85" s="111"/>
      <c r="W85" s="111"/>
      <c r="X85" s="111"/>
      <c r="Y85" s="2"/>
      <c r="Z85" s="2"/>
      <c r="AA85" s="2"/>
      <c r="AB85" s="2"/>
      <c r="AC85" s="2"/>
      <c r="AD85" s="2"/>
      <c r="AE85" s="2"/>
      <c r="AF85" s="2"/>
    </row>
    <row r="86" spans="1:32" ht="12.75" customHeight="1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111"/>
      <c r="V86" s="111"/>
      <c r="W86" s="111"/>
      <c r="X86" s="111"/>
      <c r="Y86" s="2"/>
      <c r="Z86" s="2"/>
      <c r="AA86" s="2"/>
      <c r="AB86" s="2"/>
      <c r="AC86" s="2"/>
      <c r="AD86" s="2"/>
      <c r="AE86" s="2"/>
      <c r="AF86" s="2"/>
    </row>
    <row r="87" spans="1:32" ht="12.75" customHeight="1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111"/>
      <c r="V87" s="111"/>
      <c r="W87" s="111"/>
      <c r="X87" s="111"/>
      <c r="Y87" s="2"/>
      <c r="Z87" s="2"/>
      <c r="AA87" s="2"/>
      <c r="AB87" s="2"/>
      <c r="AC87" s="2"/>
      <c r="AD87" s="2"/>
      <c r="AE87" s="2"/>
      <c r="AF87" s="2"/>
    </row>
    <row r="88" spans="1:32" ht="12.75" customHeight="1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111"/>
      <c r="V88" s="111"/>
      <c r="W88" s="111"/>
      <c r="X88" s="111"/>
      <c r="Y88" s="2"/>
      <c r="Z88" s="2"/>
      <c r="AA88" s="2"/>
      <c r="AB88" s="2"/>
      <c r="AC88" s="2"/>
      <c r="AD88" s="2"/>
      <c r="AE88" s="2"/>
      <c r="AF88" s="2"/>
    </row>
    <row r="89" spans="1:32" ht="12.75" customHeight="1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111"/>
      <c r="V89" s="111"/>
      <c r="W89" s="111"/>
      <c r="X89" s="111"/>
      <c r="Y89" s="2"/>
      <c r="Z89" s="2"/>
      <c r="AA89" s="2"/>
      <c r="AB89" s="2"/>
      <c r="AC89" s="2"/>
      <c r="AD89" s="2"/>
      <c r="AE89" s="2"/>
      <c r="AF89" s="2"/>
    </row>
    <row r="90" spans="1:32" ht="12.75" customHeight="1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111"/>
      <c r="V90" s="111"/>
      <c r="W90" s="111"/>
      <c r="X90" s="111"/>
      <c r="Y90" s="2"/>
      <c r="Z90" s="2"/>
      <c r="AA90" s="2"/>
      <c r="AB90" s="2"/>
      <c r="AC90" s="2"/>
      <c r="AD90" s="2"/>
      <c r="AE90" s="2"/>
      <c r="AF90" s="2"/>
    </row>
    <row r="91" spans="1:32" ht="12.75" customHeight="1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111"/>
      <c r="V91" s="111"/>
      <c r="W91" s="111"/>
      <c r="X91" s="111"/>
      <c r="Y91" s="2"/>
      <c r="Z91" s="2"/>
      <c r="AA91" s="2"/>
      <c r="AB91" s="2"/>
      <c r="AC91" s="2"/>
      <c r="AD91" s="2"/>
      <c r="AE91" s="2"/>
      <c r="AF91" s="2"/>
    </row>
    <row r="92" spans="1:32" ht="12.75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111"/>
      <c r="V92" s="111"/>
      <c r="W92" s="111"/>
      <c r="X92" s="111"/>
      <c r="Y92" s="2"/>
      <c r="Z92" s="2"/>
      <c r="AA92" s="2"/>
      <c r="AB92" s="2"/>
      <c r="AC92" s="2"/>
      <c r="AD92" s="2"/>
      <c r="AE92" s="2"/>
      <c r="AF92" s="2"/>
    </row>
    <row r="93" spans="1:32" ht="12.75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111"/>
      <c r="V93" s="111"/>
      <c r="W93" s="111"/>
      <c r="X93" s="111"/>
      <c r="Y93" s="2"/>
      <c r="Z93" s="2"/>
      <c r="AA93" s="2"/>
      <c r="AB93" s="2"/>
      <c r="AC93" s="2"/>
      <c r="AD93" s="2"/>
      <c r="AE93" s="2"/>
      <c r="AF93" s="2"/>
    </row>
    <row r="94" spans="1:32" ht="12.75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111"/>
      <c r="V94" s="111"/>
      <c r="W94" s="111"/>
      <c r="X94" s="111"/>
      <c r="Y94" s="2"/>
      <c r="Z94" s="2"/>
      <c r="AA94" s="2"/>
      <c r="AB94" s="2"/>
      <c r="AC94" s="2"/>
      <c r="AD94" s="2"/>
      <c r="AE94" s="2"/>
      <c r="AF94" s="2"/>
    </row>
    <row r="95" spans="1:32" ht="12.75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111"/>
      <c r="V95" s="111"/>
      <c r="W95" s="111"/>
      <c r="X95" s="111"/>
      <c r="Y95" s="2"/>
      <c r="Z95" s="2"/>
      <c r="AA95" s="2"/>
      <c r="AB95" s="2"/>
      <c r="AC95" s="2"/>
      <c r="AD95" s="2"/>
      <c r="AE95" s="2"/>
      <c r="AF95" s="2"/>
    </row>
    <row r="96" spans="1:32" ht="12.75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111"/>
      <c r="V96" s="111"/>
      <c r="W96" s="111"/>
      <c r="X96" s="111"/>
      <c r="Y96" s="2"/>
      <c r="Z96" s="2"/>
      <c r="AA96" s="2"/>
      <c r="AB96" s="2"/>
      <c r="AC96" s="2"/>
      <c r="AD96" s="2"/>
      <c r="AE96" s="2"/>
      <c r="AF96" s="2"/>
    </row>
    <row r="97" spans="1:32" ht="12.75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111"/>
      <c r="V97" s="111"/>
      <c r="W97" s="111"/>
      <c r="X97" s="111"/>
      <c r="Y97" s="2"/>
      <c r="Z97" s="2"/>
      <c r="AA97" s="2"/>
      <c r="AB97" s="2"/>
      <c r="AC97" s="2"/>
      <c r="AD97" s="2"/>
      <c r="AE97" s="2"/>
      <c r="AF97" s="2"/>
    </row>
    <row r="98" spans="1:32" ht="12.75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111"/>
      <c r="V98" s="111"/>
      <c r="W98" s="111"/>
      <c r="X98" s="111"/>
      <c r="Y98" s="2"/>
      <c r="Z98" s="2"/>
      <c r="AA98" s="2"/>
      <c r="AB98" s="2"/>
      <c r="AC98" s="2"/>
      <c r="AD98" s="2"/>
      <c r="AE98" s="2"/>
      <c r="AF98" s="2"/>
    </row>
    <row r="99" spans="1:32" ht="12.75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111"/>
      <c r="V99" s="111"/>
      <c r="W99" s="111"/>
      <c r="X99" s="111"/>
      <c r="Y99" s="2"/>
      <c r="Z99" s="2"/>
      <c r="AA99" s="2"/>
      <c r="AB99" s="2"/>
      <c r="AC99" s="2"/>
      <c r="AD99" s="2"/>
      <c r="AE99" s="2"/>
      <c r="AF99" s="2"/>
    </row>
    <row r="100" spans="1:32" ht="12.75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111"/>
      <c r="V100" s="111"/>
      <c r="W100" s="111"/>
      <c r="X100" s="111"/>
      <c r="Y100" s="2"/>
      <c r="Z100" s="2"/>
      <c r="AA100" s="2"/>
      <c r="AB100" s="2"/>
      <c r="AC100" s="2"/>
      <c r="AD100" s="2"/>
      <c r="AE100" s="2"/>
      <c r="AF100" s="2"/>
    </row>
    <row r="101" spans="1:32" ht="12.75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111"/>
      <c r="V101" s="111"/>
      <c r="W101" s="111"/>
      <c r="X101" s="111"/>
      <c r="Y101" s="2"/>
      <c r="Z101" s="2"/>
      <c r="AA101" s="2"/>
      <c r="AB101" s="2"/>
      <c r="AC101" s="2"/>
      <c r="AD101" s="2"/>
      <c r="AE101" s="2"/>
      <c r="AF101" s="2"/>
    </row>
    <row r="102" spans="1:32" ht="12.75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111"/>
      <c r="V102" s="111"/>
      <c r="W102" s="111"/>
      <c r="X102" s="111"/>
      <c r="Y102" s="2"/>
      <c r="Z102" s="2"/>
      <c r="AA102" s="2"/>
      <c r="AB102" s="2"/>
      <c r="AC102" s="2"/>
      <c r="AD102" s="2"/>
      <c r="AE102" s="2"/>
      <c r="AF102" s="2"/>
    </row>
    <row r="103" spans="1:32" ht="12.75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111"/>
      <c r="V103" s="111"/>
      <c r="W103" s="111"/>
      <c r="X103" s="111"/>
      <c r="Y103" s="2"/>
      <c r="Z103" s="2"/>
      <c r="AA103" s="2"/>
      <c r="AB103" s="2"/>
      <c r="AC103" s="2"/>
      <c r="AD103" s="2"/>
      <c r="AE103" s="2"/>
      <c r="AF103" s="2"/>
    </row>
    <row r="104" spans="1:32" ht="12.75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111"/>
      <c r="V104" s="111"/>
      <c r="W104" s="111"/>
      <c r="X104" s="111"/>
      <c r="Y104" s="2"/>
      <c r="Z104" s="2"/>
      <c r="AA104" s="2"/>
      <c r="AB104" s="2"/>
      <c r="AC104" s="2"/>
      <c r="AD104" s="2"/>
      <c r="AE104" s="2"/>
      <c r="AF104" s="2"/>
    </row>
    <row r="105" spans="1:32" ht="12.75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111"/>
      <c r="V105" s="111"/>
      <c r="W105" s="111"/>
      <c r="X105" s="111"/>
      <c r="Y105" s="2"/>
      <c r="Z105" s="2"/>
      <c r="AA105" s="2"/>
      <c r="AB105" s="2"/>
      <c r="AC105" s="2"/>
      <c r="AD105" s="2"/>
      <c r="AE105" s="2"/>
      <c r="AF105" s="2"/>
    </row>
    <row r="106" spans="1:32" ht="12.75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111"/>
      <c r="V106" s="111"/>
      <c r="W106" s="111"/>
      <c r="X106" s="111"/>
      <c r="Y106" s="2"/>
      <c r="Z106" s="2"/>
      <c r="AA106" s="2"/>
      <c r="AB106" s="2"/>
      <c r="AC106" s="2"/>
      <c r="AD106" s="2"/>
      <c r="AE106" s="2"/>
      <c r="AF106" s="2"/>
    </row>
    <row r="107" spans="1:32" ht="12.75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111"/>
      <c r="V107" s="111"/>
      <c r="W107" s="111"/>
      <c r="X107" s="111"/>
      <c r="Y107" s="2"/>
      <c r="Z107" s="2"/>
      <c r="AA107" s="2"/>
      <c r="AB107" s="2"/>
      <c r="AC107" s="2"/>
      <c r="AD107" s="2"/>
      <c r="AE107" s="2"/>
      <c r="AF107" s="2"/>
    </row>
    <row r="108" spans="1:32" ht="12.75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111"/>
      <c r="V108" s="111"/>
      <c r="W108" s="111"/>
      <c r="X108" s="111"/>
      <c r="Y108" s="2"/>
      <c r="Z108" s="2"/>
      <c r="AA108" s="2"/>
      <c r="AB108" s="2"/>
      <c r="AC108" s="2"/>
      <c r="AD108" s="2"/>
      <c r="AE108" s="2"/>
      <c r="AF108" s="2"/>
    </row>
    <row r="109" spans="1:32" ht="12.75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111"/>
      <c r="V109" s="111"/>
      <c r="W109" s="111"/>
      <c r="X109" s="111"/>
      <c r="Y109" s="2"/>
      <c r="Z109" s="2"/>
      <c r="AA109" s="2"/>
      <c r="AB109" s="2"/>
      <c r="AC109" s="2"/>
      <c r="AD109" s="2"/>
      <c r="AE109" s="2"/>
      <c r="AF109" s="2"/>
    </row>
    <row r="110" spans="1:32" ht="12.75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111"/>
      <c r="V110" s="111"/>
      <c r="W110" s="111"/>
      <c r="X110" s="111"/>
      <c r="Y110" s="2"/>
      <c r="Z110" s="2"/>
      <c r="AA110" s="2"/>
      <c r="AB110" s="2"/>
      <c r="AC110" s="2"/>
      <c r="AD110" s="2"/>
      <c r="AE110" s="2"/>
      <c r="AF110" s="2"/>
    </row>
    <row r="111" spans="1:32" ht="12.75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111"/>
      <c r="V111" s="111"/>
      <c r="W111" s="111"/>
      <c r="X111" s="111"/>
      <c r="Y111" s="2"/>
      <c r="Z111" s="2"/>
      <c r="AA111" s="2"/>
      <c r="AB111" s="2"/>
      <c r="AC111" s="2"/>
      <c r="AD111" s="2"/>
      <c r="AE111" s="2"/>
      <c r="AF111" s="2"/>
    </row>
    <row r="112" spans="1:32" ht="12.75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111"/>
      <c r="V112" s="111"/>
      <c r="W112" s="111"/>
      <c r="X112" s="111"/>
      <c r="Y112" s="2"/>
      <c r="Z112" s="2"/>
      <c r="AA112" s="2"/>
      <c r="AB112" s="2"/>
      <c r="AC112" s="2"/>
      <c r="AD112" s="2"/>
      <c r="AE112" s="2"/>
      <c r="AF112" s="2"/>
    </row>
    <row r="113" spans="1:32" ht="12.75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111"/>
      <c r="V113" s="111"/>
      <c r="W113" s="111"/>
      <c r="X113" s="111"/>
      <c r="Y113" s="2"/>
      <c r="Z113" s="2"/>
      <c r="AA113" s="2"/>
      <c r="AB113" s="2"/>
      <c r="AC113" s="2"/>
      <c r="AD113" s="2"/>
      <c r="AE113" s="2"/>
      <c r="AF113" s="2"/>
    </row>
    <row r="114" spans="1:32" ht="12.75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111"/>
      <c r="V114" s="111"/>
      <c r="W114" s="111"/>
      <c r="X114" s="111"/>
      <c r="Y114" s="2"/>
      <c r="Z114" s="2"/>
      <c r="AA114" s="2"/>
      <c r="AB114" s="2"/>
      <c r="AC114" s="2"/>
      <c r="AD114" s="2"/>
      <c r="AE114" s="2"/>
      <c r="AF114" s="2"/>
    </row>
    <row r="115" spans="1:32" ht="12.75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111"/>
      <c r="V115" s="111"/>
      <c r="W115" s="111"/>
      <c r="X115" s="111"/>
      <c r="Y115" s="2"/>
      <c r="Z115" s="2"/>
      <c r="AA115" s="2"/>
      <c r="AB115" s="2"/>
      <c r="AC115" s="2"/>
      <c r="AD115" s="2"/>
      <c r="AE115" s="2"/>
      <c r="AF115" s="2"/>
    </row>
    <row r="116" spans="1:32" ht="12.75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111"/>
      <c r="V116" s="111"/>
      <c r="W116" s="111"/>
      <c r="X116" s="111"/>
      <c r="Y116" s="2"/>
      <c r="Z116" s="2"/>
      <c r="AA116" s="2"/>
      <c r="AB116" s="2"/>
      <c r="AC116" s="2"/>
      <c r="AD116" s="2"/>
      <c r="AE116" s="2"/>
      <c r="AF116" s="2"/>
    </row>
    <row r="117" spans="1:32" ht="12.75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111"/>
      <c r="V117" s="111"/>
      <c r="W117" s="111"/>
      <c r="X117" s="111"/>
      <c r="Y117" s="2"/>
      <c r="Z117" s="2"/>
      <c r="AA117" s="2"/>
      <c r="AB117" s="2"/>
      <c r="AC117" s="2"/>
      <c r="AD117" s="2"/>
      <c r="AE117" s="2"/>
      <c r="AF117" s="2"/>
    </row>
    <row r="118" spans="1:32" ht="12.75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111"/>
      <c r="V118" s="111"/>
      <c r="W118" s="111"/>
      <c r="X118" s="111"/>
      <c r="Y118" s="2"/>
      <c r="Z118" s="2"/>
      <c r="AA118" s="2"/>
      <c r="AB118" s="2"/>
      <c r="AC118" s="2"/>
      <c r="AD118" s="2"/>
      <c r="AE118" s="2"/>
      <c r="AF118" s="2"/>
    </row>
    <row r="119" spans="1:32" ht="12.75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111"/>
      <c r="V119" s="111"/>
      <c r="W119" s="111"/>
      <c r="X119" s="111"/>
      <c r="Y119" s="2"/>
      <c r="Z119" s="2"/>
      <c r="AA119" s="2"/>
      <c r="AB119" s="2"/>
      <c r="AC119" s="2"/>
      <c r="AD119" s="2"/>
      <c r="AE119" s="2"/>
      <c r="AF119" s="2"/>
    </row>
    <row r="120" spans="1:32" ht="12.75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111"/>
      <c r="V120" s="111"/>
      <c r="W120" s="111"/>
      <c r="X120" s="111"/>
      <c r="Y120" s="2"/>
      <c r="Z120" s="2"/>
      <c r="AA120" s="2"/>
      <c r="AB120" s="2"/>
      <c r="AC120" s="2"/>
      <c r="AD120" s="2"/>
      <c r="AE120" s="2"/>
      <c r="AF120" s="2"/>
    </row>
    <row r="121" spans="1:32" ht="12.75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111"/>
      <c r="V121" s="111"/>
      <c r="W121" s="111"/>
      <c r="X121" s="111"/>
      <c r="Y121" s="2"/>
      <c r="Z121" s="2"/>
      <c r="AA121" s="2"/>
      <c r="AB121" s="2"/>
      <c r="AC121" s="2"/>
      <c r="AD121" s="2"/>
      <c r="AE121" s="2"/>
      <c r="AF121" s="2"/>
    </row>
    <row r="122" spans="1:32" ht="12.75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111"/>
      <c r="V122" s="111"/>
      <c r="W122" s="111"/>
      <c r="X122" s="111"/>
      <c r="Y122" s="2"/>
      <c r="Z122" s="2"/>
      <c r="AA122" s="2"/>
      <c r="AB122" s="2"/>
      <c r="AC122" s="2"/>
      <c r="AD122" s="2"/>
      <c r="AE122" s="2"/>
      <c r="AF122" s="2"/>
    </row>
    <row r="123" spans="1:32" ht="12.75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111"/>
      <c r="V123" s="111"/>
      <c r="W123" s="111"/>
      <c r="X123" s="111"/>
      <c r="Y123" s="2"/>
      <c r="Z123" s="2"/>
      <c r="AA123" s="2"/>
      <c r="AB123" s="2"/>
      <c r="AC123" s="2"/>
      <c r="AD123" s="2"/>
      <c r="AE123" s="2"/>
      <c r="AF123" s="2"/>
    </row>
    <row r="124" spans="1:32" ht="12.75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111"/>
      <c r="V124" s="111"/>
      <c r="W124" s="111"/>
      <c r="X124" s="111"/>
      <c r="Y124" s="2"/>
      <c r="Z124" s="2"/>
      <c r="AA124" s="2"/>
      <c r="AB124" s="2"/>
      <c r="AC124" s="2"/>
      <c r="AD124" s="2"/>
      <c r="AE124" s="2"/>
      <c r="AF124" s="2"/>
    </row>
    <row r="125" spans="1:32" ht="12.75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111"/>
      <c r="V125" s="111"/>
      <c r="W125" s="111"/>
      <c r="X125" s="111"/>
      <c r="Y125" s="2"/>
      <c r="Z125" s="2"/>
      <c r="AA125" s="2"/>
      <c r="AB125" s="2"/>
      <c r="AC125" s="2"/>
      <c r="AD125" s="2"/>
      <c r="AE125" s="2"/>
      <c r="AF125" s="2"/>
    </row>
    <row r="126" spans="1:32" ht="12.75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111"/>
      <c r="V126" s="111"/>
      <c r="W126" s="111"/>
      <c r="X126" s="111"/>
      <c r="Y126" s="2"/>
      <c r="Z126" s="2"/>
      <c r="AA126" s="2"/>
      <c r="AB126" s="2"/>
      <c r="AC126" s="2"/>
      <c r="AD126" s="2"/>
      <c r="AE126" s="2"/>
      <c r="AF126" s="2"/>
    </row>
    <row r="127" spans="1:32" ht="12.75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111"/>
      <c r="V127" s="111"/>
      <c r="W127" s="111"/>
      <c r="X127" s="111"/>
      <c r="Y127" s="2"/>
      <c r="Z127" s="2"/>
      <c r="AA127" s="2"/>
      <c r="AB127" s="2"/>
      <c r="AC127" s="2"/>
      <c r="AD127" s="2"/>
      <c r="AE127" s="2"/>
      <c r="AF127" s="2"/>
    </row>
    <row r="128" spans="1:32" ht="12.75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111"/>
      <c r="V128" s="111"/>
      <c r="W128" s="111"/>
      <c r="X128" s="111"/>
      <c r="Y128" s="2"/>
      <c r="Z128" s="2"/>
      <c r="AA128" s="2"/>
      <c r="AB128" s="2"/>
      <c r="AC128" s="2"/>
      <c r="AD128" s="2"/>
      <c r="AE128" s="2"/>
      <c r="AF128" s="2"/>
    </row>
    <row r="129" spans="1:32" ht="12.75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111"/>
      <c r="V129" s="111"/>
      <c r="W129" s="111"/>
      <c r="X129" s="111"/>
      <c r="Y129" s="2"/>
      <c r="Z129" s="2"/>
      <c r="AA129" s="2"/>
      <c r="AB129" s="2"/>
      <c r="AC129" s="2"/>
      <c r="AD129" s="2"/>
      <c r="AE129" s="2"/>
      <c r="AF129" s="2"/>
    </row>
    <row r="130" spans="1:32" ht="12.75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111"/>
      <c r="V130" s="111"/>
      <c r="W130" s="111"/>
      <c r="X130" s="111"/>
      <c r="Y130" s="2"/>
      <c r="Z130" s="2"/>
      <c r="AA130" s="2"/>
      <c r="AB130" s="2"/>
      <c r="AC130" s="2"/>
      <c r="AD130" s="2"/>
      <c r="AE130" s="2"/>
      <c r="AF130" s="2"/>
    </row>
    <row r="131" spans="1:32" ht="12.75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111"/>
      <c r="V131" s="111"/>
      <c r="W131" s="111"/>
      <c r="X131" s="111"/>
      <c r="Y131" s="2"/>
      <c r="Z131" s="2"/>
      <c r="AA131" s="2"/>
      <c r="AB131" s="2"/>
      <c r="AC131" s="2"/>
      <c r="AD131" s="2"/>
      <c r="AE131" s="2"/>
      <c r="AF131" s="2"/>
    </row>
    <row r="132" spans="1:32" ht="12.75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111"/>
      <c r="V132" s="111"/>
      <c r="W132" s="111"/>
      <c r="X132" s="111"/>
      <c r="Y132" s="2"/>
      <c r="Z132" s="2"/>
      <c r="AA132" s="2"/>
      <c r="AB132" s="2"/>
      <c r="AC132" s="2"/>
      <c r="AD132" s="2"/>
      <c r="AE132" s="2"/>
      <c r="AF132" s="2"/>
    </row>
    <row r="133" spans="1:32" ht="12.75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111"/>
      <c r="V133" s="111"/>
      <c r="W133" s="111"/>
      <c r="X133" s="111"/>
      <c r="Y133" s="2"/>
      <c r="Z133" s="2"/>
      <c r="AA133" s="2"/>
      <c r="AB133" s="2"/>
      <c r="AC133" s="2"/>
      <c r="AD133" s="2"/>
      <c r="AE133" s="2"/>
      <c r="AF133" s="2"/>
    </row>
    <row r="134" spans="1:32" ht="12.75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111"/>
      <c r="V134" s="111"/>
      <c r="W134" s="111"/>
      <c r="X134" s="111"/>
      <c r="Y134" s="2"/>
      <c r="Z134" s="2"/>
      <c r="AA134" s="2"/>
      <c r="AB134" s="2"/>
      <c r="AC134" s="2"/>
      <c r="AD134" s="2"/>
      <c r="AE134" s="2"/>
      <c r="AF134" s="2"/>
    </row>
    <row r="135" spans="1:32" ht="12.75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111"/>
      <c r="V135" s="111"/>
      <c r="W135" s="111"/>
      <c r="X135" s="111"/>
      <c r="Y135" s="2"/>
      <c r="Z135" s="2"/>
      <c r="AA135" s="2"/>
      <c r="AB135" s="2"/>
      <c r="AC135" s="2"/>
      <c r="AD135" s="2"/>
      <c r="AE135" s="2"/>
      <c r="AF135" s="2"/>
    </row>
    <row r="136" spans="1:32" ht="12.75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111"/>
      <c r="V136" s="111"/>
      <c r="W136" s="111"/>
      <c r="X136" s="111"/>
      <c r="Y136" s="2"/>
      <c r="Z136" s="2"/>
      <c r="AA136" s="2"/>
      <c r="AB136" s="2"/>
      <c r="AC136" s="2"/>
      <c r="AD136" s="2"/>
      <c r="AE136" s="2"/>
      <c r="AF136" s="2"/>
    </row>
    <row r="137" spans="1:32" ht="12.75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111"/>
      <c r="V137" s="111"/>
      <c r="W137" s="111"/>
      <c r="X137" s="111"/>
      <c r="Y137" s="2"/>
      <c r="Z137" s="2"/>
      <c r="AA137" s="2"/>
      <c r="AB137" s="2"/>
      <c r="AC137" s="2"/>
      <c r="AD137" s="2"/>
      <c r="AE137" s="2"/>
      <c r="AF137" s="2"/>
    </row>
    <row r="138" spans="1:32" ht="12.75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111"/>
      <c r="V138" s="111"/>
      <c r="W138" s="111"/>
      <c r="X138" s="111"/>
      <c r="Y138" s="2"/>
      <c r="Z138" s="2"/>
      <c r="AA138" s="2"/>
      <c r="AB138" s="2"/>
      <c r="AC138" s="2"/>
      <c r="AD138" s="2"/>
      <c r="AE138" s="2"/>
      <c r="AF138" s="2"/>
    </row>
    <row r="139" spans="1:32" ht="12.75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111"/>
      <c r="V139" s="111"/>
      <c r="W139" s="111"/>
      <c r="X139" s="111"/>
      <c r="Y139" s="2"/>
      <c r="Z139" s="2"/>
      <c r="AA139" s="2"/>
      <c r="AB139" s="2"/>
      <c r="AC139" s="2"/>
      <c r="AD139" s="2"/>
      <c r="AE139" s="2"/>
      <c r="AF139" s="2"/>
    </row>
    <row r="140" spans="1:32" ht="12.75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111"/>
      <c r="V140" s="111"/>
      <c r="W140" s="111"/>
      <c r="X140" s="111"/>
      <c r="Y140" s="2"/>
      <c r="Z140" s="2"/>
      <c r="AA140" s="2"/>
      <c r="AB140" s="2"/>
      <c r="AC140" s="2"/>
      <c r="AD140" s="2"/>
      <c r="AE140" s="2"/>
      <c r="AF140" s="2"/>
    </row>
    <row r="141" spans="1:32" ht="12.75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111"/>
      <c r="V141" s="111"/>
      <c r="W141" s="111"/>
      <c r="X141" s="111"/>
      <c r="Y141" s="2"/>
      <c r="Z141" s="2"/>
      <c r="AA141" s="2"/>
      <c r="AB141" s="2"/>
      <c r="AC141" s="2"/>
      <c r="AD141" s="2"/>
      <c r="AE141" s="2"/>
      <c r="AF141" s="2"/>
    </row>
    <row r="142" spans="1:32" ht="12.75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111"/>
      <c r="V142" s="111"/>
      <c r="W142" s="111"/>
      <c r="X142" s="111"/>
      <c r="Y142" s="2"/>
      <c r="Z142" s="2"/>
      <c r="AA142" s="2"/>
      <c r="AB142" s="2"/>
      <c r="AC142" s="2"/>
      <c r="AD142" s="2"/>
      <c r="AE142" s="2"/>
      <c r="AF142" s="2"/>
    </row>
    <row r="143" spans="1:32" ht="12.75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111"/>
      <c r="V143" s="111"/>
      <c r="W143" s="111"/>
      <c r="X143" s="111"/>
      <c r="Y143" s="2"/>
      <c r="Z143" s="2"/>
      <c r="AA143" s="2"/>
      <c r="AB143" s="2"/>
      <c r="AC143" s="2"/>
      <c r="AD143" s="2"/>
      <c r="AE143" s="2"/>
      <c r="AF143" s="2"/>
    </row>
    <row r="144" spans="1:32" ht="12.75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111"/>
      <c r="V144" s="111"/>
      <c r="W144" s="111"/>
      <c r="X144" s="111"/>
      <c r="Y144" s="2"/>
      <c r="Z144" s="2"/>
      <c r="AA144" s="2"/>
      <c r="AB144" s="2"/>
      <c r="AC144" s="2"/>
      <c r="AD144" s="2"/>
      <c r="AE144" s="2"/>
      <c r="AF144" s="2"/>
    </row>
    <row r="145" spans="1:32" ht="12.75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111"/>
      <c r="V145" s="111"/>
      <c r="W145" s="111"/>
      <c r="X145" s="111"/>
      <c r="Y145" s="2"/>
      <c r="Z145" s="2"/>
      <c r="AA145" s="2"/>
      <c r="AB145" s="2"/>
      <c r="AC145" s="2"/>
      <c r="AD145" s="2"/>
      <c r="AE145" s="2"/>
      <c r="AF145" s="2"/>
    </row>
    <row r="146" spans="1:32" ht="12.75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111"/>
      <c r="V146" s="111"/>
      <c r="W146" s="111"/>
      <c r="X146" s="111"/>
      <c r="Y146" s="2"/>
      <c r="Z146" s="2"/>
      <c r="AA146" s="2"/>
      <c r="AB146" s="2"/>
      <c r="AC146" s="2"/>
      <c r="AD146" s="2"/>
      <c r="AE146" s="2"/>
      <c r="AF146" s="2"/>
    </row>
    <row r="147" spans="1:32" ht="12.75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111"/>
      <c r="V147" s="111"/>
      <c r="W147" s="111"/>
      <c r="X147" s="111"/>
      <c r="Y147" s="2"/>
      <c r="Z147" s="2"/>
      <c r="AA147" s="2"/>
      <c r="AB147" s="2"/>
      <c r="AC147" s="2"/>
      <c r="AD147" s="2"/>
      <c r="AE147" s="2"/>
      <c r="AF147" s="2"/>
    </row>
    <row r="148" spans="1:32" ht="12.75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111"/>
      <c r="V148" s="111"/>
      <c r="W148" s="111"/>
      <c r="X148" s="111"/>
      <c r="Y148" s="2"/>
      <c r="Z148" s="2"/>
      <c r="AA148" s="2"/>
      <c r="AB148" s="2"/>
      <c r="AC148" s="2"/>
      <c r="AD148" s="2"/>
      <c r="AE148" s="2"/>
      <c r="AF148" s="2"/>
    </row>
    <row r="149" spans="1:32" ht="12.75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111"/>
      <c r="V149" s="111"/>
      <c r="W149" s="111"/>
      <c r="X149" s="111"/>
      <c r="Y149" s="2"/>
      <c r="Z149" s="2"/>
      <c r="AA149" s="2"/>
      <c r="AB149" s="2"/>
      <c r="AC149" s="2"/>
      <c r="AD149" s="2"/>
      <c r="AE149" s="2"/>
      <c r="AF149" s="2"/>
    </row>
    <row r="150" spans="1:32" ht="12.75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111"/>
      <c r="V150" s="111"/>
      <c r="W150" s="111"/>
      <c r="X150" s="111"/>
      <c r="Y150" s="2"/>
      <c r="Z150" s="2"/>
      <c r="AA150" s="2"/>
      <c r="AB150" s="2"/>
      <c r="AC150" s="2"/>
      <c r="AD150" s="2"/>
      <c r="AE150" s="2"/>
      <c r="AF150" s="2"/>
    </row>
    <row r="151" spans="1:32" ht="12.75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111"/>
      <c r="V151" s="111"/>
      <c r="W151" s="111"/>
      <c r="X151" s="111"/>
      <c r="Y151" s="2"/>
      <c r="Z151" s="2"/>
      <c r="AA151" s="2"/>
      <c r="AB151" s="2"/>
      <c r="AC151" s="2"/>
      <c r="AD151" s="2"/>
      <c r="AE151" s="2"/>
      <c r="AF151" s="2"/>
    </row>
    <row r="152" spans="1:32" ht="12.75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111"/>
      <c r="V152" s="111"/>
      <c r="W152" s="111"/>
      <c r="X152" s="111"/>
      <c r="Y152" s="2"/>
      <c r="Z152" s="2"/>
      <c r="AA152" s="2"/>
      <c r="AB152" s="2"/>
      <c r="AC152" s="2"/>
      <c r="AD152" s="2"/>
      <c r="AE152" s="2"/>
      <c r="AF152" s="2"/>
    </row>
    <row r="153" spans="1:32" ht="12.75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111"/>
      <c r="V153" s="111"/>
      <c r="W153" s="111"/>
      <c r="X153" s="111"/>
      <c r="Y153" s="2"/>
      <c r="Z153" s="2"/>
      <c r="AA153" s="2"/>
      <c r="AB153" s="2"/>
      <c r="AC153" s="2"/>
      <c r="AD153" s="2"/>
      <c r="AE153" s="2"/>
      <c r="AF153" s="2"/>
    </row>
    <row r="154" spans="1:32" ht="12.75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111"/>
      <c r="V154" s="111"/>
      <c r="W154" s="111"/>
      <c r="X154" s="111"/>
      <c r="Y154" s="2"/>
      <c r="Z154" s="2"/>
      <c r="AA154" s="2"/>
      <c r="AB154" s="2"/>
      <c r="AC154" s="2"/>
      <c r="AD154" s="2"/>
      <c r="AE154" s="2"/>
      <c r="AF154" s="2"/>
    </row>
    <row r="155" spans="1:32" ht="12.75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111"/>
      <c r="V155" s="111"/>
      <c r="W155" s="111"/>
      <c r="X155" s="111"/>
      <c r="Y155" s="2"/>
      <c r="Z155" s="2"/>
      <c r="AA155" s="2"/>
      <c r="AB155" s="2"/>
      <c r="AC155" s="2"/>
      <c r="AD155" s="2"/>
      <c r="AE155" s="2"/>
      <c r="AF155" s="2"/>
    </row>
    <row r="156" spans="1:32" ht="12.75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111"/>
      <c r="V156" s="111"/>
      <c r="W156" s="111"/>
      <c r="X156" s="111"/>
      <c r="Y156" s="2"/>
      <c r="Z156" s="2"/>
      <c r="AA156" s="2"/>
      <c r="AB156" s="2"/>
      <c r="AC156" s="2"/>
      <c r="AD156" s="2"/>
      <c r="AE156" s="2"/>
      <c r="AF156" s="2"/>
    </row>
    <row r="157" spans="1:32" ht="12.75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111"/>
      <c r="V157" s="111"/>
      <c r="W157" s="111"/>
      <c r="X157" s="111"/>
      <c r="Y157" s="2"/>
      <c r="Z157" s="2"/>
      <c r="AA157" s="2"/>
      <c r="AB157" s="2"/>
      <c r="AC157" s="2"/>
      <c r="AD157" s="2"/>
      <c r="AE157" s="2"/>
      <c r="AF157" s="2"/>
    </row>
    <row r="158" spans="1:32" ht="12.75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111"/>
      <c r="V158" s="111"/>
      <c r="W158" s="111"/>
      <c r="X158" s="111"/>
      <c r="Y158" s="2"/>
      <c r="Z158" s="2"/>
      <c r="AA158" s="2"/>
      <c r="AB158" s="2"/>
      <c r="AC158" s="2"/>
      <c r="AD158" s="2"/>
      <c r="AE158" s="2"/>
      <c r="AF158" s="2"/>
    </row>
    <row r="159" spans="1:32" ht="12.75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111"/>
      <c r="V159" s="111"/>
      <c r="W159" s="111"/>
      <c r="X159" s="111"/>
      <c r="Y159" s="2"/>
      <c r="Z159" s="2"/>
      <c r="AA159" s="2"/>
      <c r="AB159" s="2"/>
      <c r="AC159" s="2"/>
      <c r="AD159" s="2"/>
      <c r="AE159" s="2"/>
      <c r="AF159" s="2"/>
    </row>
    <row r="160" spans="1:32" ht="12.75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111"/>
      <c r="V160" s="111"/>
      <c r="W160" s="111"/>
      <c r="X160" s="111"/>
      <c r="Y160" s="2"/>
      <c r="Z160" s="2"/>
      <c r="AA160" s="2"/>
      <c r="AB160" s="2"/>
      <c r="AC160" s="2"/>
      <c r="AD160" s="2"/>
      <c r="AE160" s="2"/>
      <c r="AF160" s="2"/>
    </row>
    <row r="161" spans="1:32" ht="12.75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111"/>
      <c r="V161" s="111"/>
      <c r="W161" s="111"/>
      <c r="X161" s="111"/>
      <c r="Y161" s="2"/>
      <c r="Z161" s="2"/>
      <c r="AA161" s="2"/>
      <c r="AB161" s="2"/>
      <c r="AC161" s="2"/>
      <c r="AD161" s="2"/>
      <c r="AE161" s="2"/>
      <c r="AF161" s="2"/>
    </row>
    <row r="162" spans="1:32" ht="12.75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111"/>
      <c r="V162" s="111"/>
      <c r="W162" s="111"/>
      <c r="X162" s="111"/>
      <c r="Y162" s="2"/>
      <c r="Z162" s="2"/>
      <c r="AA162" s="2"/>
      <c r="AB162" s="2"/>
      <c r="AC162" s="2"/>
      <c r="AD162" s="2"/>
      <c r="AE162" s="2"/>
      <c r="AF162" s="2"/>
    </row>
    <row r="163" spans="1:32" ht="12.75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111"/>
      <c r="V163" s="111"/>
      <c r="W163" s="111"/>
      <c r="X163" s="111"/>
      <c r="Y163" s="2"/>
      <c r="Z163" s="2"/>
      <c r="AA163" s="2"/>
      <c r="AB163" s="2"/>
      <c r="AC163" s="2"/>
      <c r="AD163" s="2"/>
      <c r="AE163" s="2"/>
      <c r="AF163" s="2"/>
    </row>
    <row r="164" spans="1:32" ht="12.75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111"/>
      <c r="V164" s="111"/>
      <c r="W164" s="111"/>
      <c r="X164" s="111"/>
      <c r="Y164" s="2"/>
      <c r="Z164" s="2"/>
      <c r="AA164" s="2"/>
      <c r="AB164" s="2"/>
      <c r="AC164" s="2"/>
      <c r="AD164" s="2"/>
      <c r="AE164" s="2"/>
      <c r="AF164" s="2"/>
    </row>
    <row r="165" spans="1:32" ht="12.75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111"/>
      <c r="V165" s="111"/>
      <c r="W165" s="111"/>
      <c r="X165" s="111"/>
      <c r="Y165" s="2"/>
      <c r="Z165" s="2"/>
      <c r="AA165" s="2"/>
      <c r="AB165" s="2"/>
      <c r="AC165" s="2"/>
      <c r="AD165" s="2"/>
      <c r="AE165" s="2"/>
      <c r="AF165" s="2"/>
    </row>
    <row r="166" spans="1:32" ht="12.75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111"/>
      <c r="V166" s="111"/>
      <c r="W166" s="111"/>
      <c r="X166" s="111"/>
      <c r="Y166" s="2"/>
      <c r="Z166" s="2"/>
      <c r="AA166" s="2"/>
      <c r="AB166" s="2"/>
      <c r="AC166" s="2"/>
      <c r="AD166" s="2"/>
      <c r="AE166" s="2"/>
      <c r="AF166" s="2"/>
    </row>
    <row r="167" spans="1:32" ht="12.75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111"/>
      <c r="V167" s="111"/>
      <c r="W167" s="111"/>
      <c r="X167" s="111"/>
      <c r="Y167" s="2"/>
      <c r="Z167" s="2"/>
      <c r="AA167" s="2"/>
      <c r="AB167" s="2"/>
      <c r="AC167" s="2"/>
      <c r="AD167" s="2"/>
      <c r="AE167" s="2"/>
      <c r="AF167" s="2"/>
    </row>
    <row r="168" spans="1:32" ht="12.75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111"/>
      <c r="V168" s="111"/>
      <c r="W168" s="111"/>
      <c r="X168" s="111"/>
      <c r="Y168" s="2"/>
      <c r="Z168" s="2"/>
      <c r="AA168" s="2"/>
      <c r="AB168" s="2"/>
      <c r="AC168" s="2"/>
      <c r="AD168" s="2"/>
      <c r="AE168" s="2"/>
      <c r="AF168" s="2"/>
    </row>
    <row r="169" spans="1:32" ht="12.75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111"/>
      <c r="V169" s="111"/>
      <c r="W169" s="111"/>
      <c r="X169" s="111"/>
      <c r="Y169" s="2"/>
      <c r="Z169" s="2"/>
      <c r="AA169" s="2"/>
      <c r="AB169" s="2"/>
      <c r="AC169" s="2"/>
      <c r="AD169" s="2"/>
      <c r="AE169" s="2"/>
      <c r="AF169" s="2"/>
    </row>
    <row r="170" spans="1:32" ht="12.75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111"/>
      <c r="V170" s="111"/>
      <c r="W170" s="111"/>
      <c r="X170" s="111"/>
      <c r="Y170" s="2"/>
      <c r="Z170" s="2"/>
      <c r="AA170" s="2"/>
      <c r="AB170" s="2"/>
      <c r="AC170" s="2"/>
      <c r="AD170" s="2"/>
      <c r="AE170" s="2"/>
      <c r="AF170" s="2"/>
    </row>
    <row r="171" spans="1:32" ht="12.75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111"/>
      <c r="V171" s="111"/>
      <c r="W171" s="111"/>
      <c r="X171" s="111"/>
      <c r="Y171" s="2"/>
      <c r="Z171" s="2"/>
      <c r="AA171" s="2"/>
      <c r="AB171" s="2"/>
      <c r="AC171" s="2"/>
      <c r="AD171" s="2"/>
      <c r="AE171" s="2"/>
      <c r="AF171" s="2"/>
    </row>
    <row r="172" spans="1:32" ht="12.75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111"/>
      <c r="V172" s="111"/>
      <c r="W172" s="111"/>
      <c r="X172" s="111"/>
      <c r="Y172" s="2"/>
      <c r="Z172" s="2"/>
      <c r="AA172" s="2"/>
      <c r="AB172" s="2"/>
      <c r="AC172" s="2"/>
      <c r="AD172" s="2"/>
      <c r="AE172" s="2"/>
      <c r="AF172" s="2"/>
    </row>
    <row r="173" spans="1:32" ht="12.75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111"/>
      <c r="V173" s="111"/>
      <c r="W173" s="111"/>
      <c r="X173" s="111"/>
      <c r="Y173" s="2"/>
      <c r="Z173" s="2"/>
      <c r="AA173" s="2"/>
      <c r="AB173" s="2"/>
      <c r="AC173" s="2"/>
      <c r="AD173" s="2"/>
      <c r="AE173" s="2"/>
      <c r="AF173" s="2"/>
    </row>
    <row r="174" spans="1:32" ht="12.75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111"/>
      <c r="V174" s="111"/>
      <c r="W174" s="111"/>
      <c r="X174" s="111"/>
      <c r="Y174" s="2"/>
      <c r="Z174" s="2"/>
      <c r="AA174" s="2"/>
      <c r="AB174" s="2"/>
      <c r="AC174" s="2"/>
      <c r="AD174" s="2"/>
      <c r="AE174" s="2"/>
      <c r="AF174" s="2"/>
    </row>
    <row r="175" spans="1:32" ht="12.75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111"/>
      <c r="V175" s="111"/>
      <c r="W175" s="111"/>
      <c r="X175" s="111"/>
      <c r="Y175" s="2"/>
      <c r="Z175" s="2"/>
      <c r="AA175" s="2"/>
      <c r="AB175" s="2"/>
      <c r="AC175" s="2"/>
      <c r="AD175" s="2"/>
      <c r="AE175" s="2"/>
      <c r="AF175" s="2"/>
    </row>
    <row r="176" spans="1:32" ht="12.75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111"/>
      <c r="V176" s="111"/>
      <c r="W176" s="111"/>
      <c r="X176" s="111"/>
      <c r="Y176" s="2"/>
      <c r="Z176" s="2"/>
      <c r="AA176" s="2"/>
      <c r="AB176" s="2"/>
      <c r="AC176" s="2"/>
      <c r="AD176" s="2"/>
      <c r="AE176" s="2"/>
      <c r="AF176" s="2"/>
    </row>
    <row r="177" spans="1:32" ht="12.75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111"/>
      <c r="V177" s="111"/>
      <c r="W177" s="111"/>
      <c r="X177" s="111"/>
      <c r="Y177" s="2"/>
      <c r="Z177" s="2"/>
      <c r="AA177" s="2"/>
      <c r="AB177" s="2"/>
      <c r="AC177" s="2"/>
      <c r="AD177" s="2"/>
      <c r="AE177" s="2"/>
      <c r="AF177" s="2"/>
    </row>
    <row r="178" spans="1:32" ht="12.75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111"/>
      <c r="V178" s="111"/>
      <c r="W178" s="111"/>
      <c r="X178" s="111"/>
      <c r="Y178" s="2"/>
      <c r="Z178" s="2"/>
      <c r="AA178" s="2"/>
      <c r="AB178" s="2"/>
      <c r="AC178" s="2"/>
      <c r="AD178" s="2"/>
      <c r="AE178" s="2"/>
      <c r="AF178" s="2"/>
    </row>
    <row r="179" spans="1:32" ht="12.75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111"/>
      <c r="V179" s="111"/>
      <c r="W179" s="111"/>
      <c r="X179" s="111"/>
      <c r="Y179" s="2"/>
      <c r="Z179" s="2"/>
      <c r="AA179" s="2"/>
      <c r="AB179" s="2"/>
      <c r="AC179" s="2"/>
      <c r="AD179" s="2"/>
      <c r="AE179" s="2"/>
      <c r="AF179" s="2"/>
    </row>
    <row r="180" spans="1:32" ht="12.75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111"/>
      <c r="V180" s="111"/>
      <c r="W180" s="111"/>
      <c r="X180" s="111"/>
      <c r="Y180" s="2"/>
      <c r="Z180" s="2"/>
      <c r="AA180" s="2"/>
      <c r="AB180" s="2"/>
      <c r="AC180" s="2"/>
      <c r="AD180" s="2"/>
      <c r="AE180" s="2"/>
      <c r="AF180" s="2"/>
    </row>
    <row r="181" spans="1:32" ht="12.75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111"/>
      <c r="V181" s="111"/>
      <c r="W181" s="111"/>
      <c r="X181" s="111"/>
      <c r="Y181" s="2"/>
      <c r="Z181" s="2"/>
      <c r="AA181" s="2"/>
      <c r="AB181" s="2"/>
      <c r="AC181" s="2"/>
      <c r="AD181" s="2"/>
      <c r="AE181" s="2"/>
      <c r="AF181" s="2"/>
    </row>
    <row r="182" spans="1:32" ht="12.75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111"/>
      <c r="V182" s="111"/>
      <c r="W182" s="111"/>
      <c r="X182" s="111"/>
      <c r="Y182" s="2"/>
      <c r="Z182" s="2"/>
      <c r="AA182" s="2"/>
      <c r="AB182" s="2"/>
      <c r="AC182" s="2"/>
      <c r="AD182" s="2"/>
      <c r="AE182" s="2"/>
      <c r="AF182" s="2"/>
    </row>
    <row r="183" spans="1:32" ht="12.75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111"/>
      <c r="V183" s="111"/>
      <c r="W183" s="111"/>
      <c r="X183" s="111"/>
      <c r="Y183" s="2"/>
      <c r="Z183" s="2"/>
      <c r="AA183" s="2"/>
      <c r="AB183" s="2"/>
      <c r="AC183" s="2"/>
      <c r="AD183" s="2"/>
      <c r="AE183" s="2"/>
      <c r="AF183" s="2"/>
    </row>
    <row r="184" spans="1:32" ht="12.75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111"/>
      <c r="V184" s="111"/>
      <c r="W184" s="111"/>
      <c r="X184" s="111"/>
      <c r="Y184" s="2"/>
      <c r="Z184" s="2"/>
      <c r="AA184" s="2"/>
      <c r="AB184" s="2"/>
      <c r="AC184" s="2"/>
      <c r="AD184" s="2"/>
      <c r="AE184" s="2"/>
      <c r="AF184" s="2"/>
    </row>
    <row r="185" spans="1:32" ht="12.75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111"/>
      <c r="V185" s="111"/>
      <c r="W185" s="111"/>
      <c r="X185" s="111"/>
      <c r="Y185" s="2"/>
      <c r="Z185" s="2"/>
      <c r="AA185" s="2"/>
      <c r="AB185" s="2"/>
      <c r="AC185" s="2"/>
      <c r="AD185" s="2"/>
      <c r="AE185" s="2"/>
      <c r="AF185" s="2"/>
    </row>
    <row r="186" spans="1:32" ht="12.75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111"/>
      <c r="V186" s="111"/>
      <c r="W186" s="111"/>
      <c r="X186" s="111"/>
      <c r="Y186" s="2"/>
      <c r="Z186" s="2"/>
      <c r="AA186" s="2"/>
      <c r="AB186" s="2"/>
      <c r="AC186" s="2"/>
      <c r="AD186" s="2"/>
      <c r="AE186" s="2"/>
      <c r="AF186" s="2"/>
    </row>
    <row r="187" spans="1:32" ht="12.75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111"/>
      <c r="V187" s="111"/>
      <c r="W187" s="111"/>
      <c r="X187" s="111"/>
      <c r="Y187" s="2"/>
      <c r="Z187" s="2"/>
      <c r="AA187" s="2"/>
      <c r="AB187" s="2"/>
      <c r="AC187" s="2"/>
      <c r="AD187" s="2"/>
      <c r="AE187" s="2"/>
      <c r="AF187" s="2"/>
    </row>
    <row r="188" spans="1:32" ht="12.75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2.75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2.75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2.75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2.75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2.75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2.75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2.75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2.75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2.75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2.75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2.75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2.75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2.75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2.75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2.75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2.75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2.75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2.75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2.75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2.75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2.75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2.75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2.75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2.75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2.75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2.75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2.75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2.75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2.75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2.75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2.75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2.75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2.75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2.75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2.75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2.75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2.75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2.75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2.75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2.75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2.75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2.75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2.75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2.75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2.75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2.75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2.75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2.75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2.75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2.75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2.75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2.75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2.75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2.75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2.75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2.75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2.75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2.75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2.75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2.75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2.75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2.75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2.75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2.75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2.75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2.75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2.75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2.75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2.75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2.75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2.75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2.75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2.75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2.75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2.75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2.75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2.75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2.75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2.75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2.75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2.75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2.75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2.75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2.75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2.75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2.75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2.75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2.75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2.75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2.75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2.75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2.75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2.75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2.75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2.75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2.75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2.75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2.75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2.75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2.75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2.75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2.75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2.75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2.75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2.75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2.75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2.75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2.75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2.75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2.75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2.75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2.75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2.75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2.75" customHeight="1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2.75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2.75" customHeight="1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2.75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2.75" customHeight="1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2.75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2.75" customHeight="1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2.75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2.75" customHeight="1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2.75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2.75" customHeight="1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2.75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2.75" customHeight="1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2.75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2.75" customHeight="1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2.75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2.75" customHeight="1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2.75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2.75" customHeight="1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2.75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2.75" customHeight="1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2.75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2.75" customHeight="1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2.75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2.75" customHeight="1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2.75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2.75" customHeight="1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2.75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2.75" customHeight="1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2.75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2.75" customHeight="1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2.75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2.75" customHeight="1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2.75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2.75" customHeight="1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2.75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2.75" customHeight="1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2.75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2.75" customHeight="1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2.75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2.75" customHeight="1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2.75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2.75" customHeight="1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2.75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2.75" customHeight="1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2.75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2.75" customHeight="1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2.75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2.75" customHeight="1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2.75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2.75" customHeight="1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2.75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2.75" customHeight="1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2.75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2.75" customHeight="1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2.75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2.75" customHeight="1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2.75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2.75" customHeight="1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2.75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2.75" customHeight="1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2.75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2.75" customHeight="1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2.75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2.75" customHeight="1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2.75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2.75" customHeight="1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2.75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2.75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2.75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2.75" customHeight="1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2.75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2.75" customHeight="1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2.75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2.75" customHeight="1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2.75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2.75" customHeight="1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2.75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2.75" customHeight="1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2.75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2.75" customHeight="1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2.75" customHeight="1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2.75" customHeight="1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2.75" customHeight="1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2.75" customHeight="1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2.75" customHeight="1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2.75" customHeight="1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2.75" customHeight="1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2.75" customHeight="1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2.75" customHeight="1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2.75" customHeight="1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2.75" customHeight="1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2.75" customHeight="1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2.75" customHeight="1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2.75" customHeight="1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2.75" customHeight="1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2.75" customHeight="1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2.75" customHeight="1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2.75" customHeight="1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2.75" customHeight="1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2.75" customHeight="1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2.75" customHeight="1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2.75" customHeight="1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2.75" customHeight="1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2.75" customHeight="1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2.75" customHeight="1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2.75" customHeight="1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2.75" customHeight="1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2.75" customHeight="1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2.75" customHeight="1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2.75" customHeight="1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2.75" customHeight="1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2.75" customHeight="1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2.75" customHeight="1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2.75" customHeight="1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2.75" customHeight="1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2.75" customHeight="1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2.75" customHeight="1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2.75" customHeight="1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2.75" customHeight="1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2.75" customHeight="1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2.75" customHeight="1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2.75" customHeight="1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2.75" customHeight="1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2.75" customHeight="1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2.75" customHeight="1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2.75" customHeight="1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2.75" customHeight="1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2.75" customHeight="1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2.75" customHeight="1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2.75" customHeight="1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2.75" customHeight="1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2.75" customHeight="1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2.75" customHeight="1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2.75" customHeight="1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2.75" customHeight="1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2.75" customHeight="1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2.75" customHeight="1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2.75" customHeight="1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2.75" customHeight="1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2.75" customHeight="1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2.75" customHeight="1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2.75" customHeight="1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2.75" customHeight="1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2.75" customHeight="1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2.75" customHeight="1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2.75" customHeight="1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2.75" customHeight="1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2.75" customHeight="1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2.75" customHeight="1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2.75" customHeight="1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2.75" customHeight="1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2.75" customHeight="1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2.75" customHeight="1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2.75" customHeight="1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2.75" customHeight="1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2.75" customHeight="1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2.75" customHeight="1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2.75" customHeight="1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2.75" customHeight="1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2.75" customHeight="1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2.75" customHeight="1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2.75" customHeight="1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2.75" customHeight="1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2.75" customHeight="1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2.75" customHeight="1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2.75" customHeight="1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2.75" customHeight="1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2.75" customHeight="1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2.75" customHeight="1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2.75" customHeight="1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2.75" customHeight="1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2.75" customHeight="1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2.75" customHeight="1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2.75" customHeight="1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2.75" customHeight="1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2.75" customHeight="1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2.75" customHeight="1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2.75" customHeight="1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2.75" customHeight="1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2.75" customHeight="1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2.75" customHeight="1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2.75" customHeight="1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2.75" customHeight="1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2.75" customHeight="1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2.75" customHeight="1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2.75" customHeight="1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2.75" customHeight="1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2.75" customHeight="1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2.75" customHeight="1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2.75" customHeight="1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2.75" customHeight="1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2.75" customHeight="1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2.75" customHeight="1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2.75" customHeight="1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2.75" customHeight="1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2.75" customHeight="1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2.75" customHeight="1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2.75" customHeight="1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2.75" customHeight="1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2.75" customHeight="1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2.75" customHeight="1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2.75" customHeight="1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2.75" customHeight="1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2.75" customHeight="1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2.75" customHeight="1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2.75" customHeight="1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2.75" customHeight="1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2.75" customHeight="1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2.75" customHeight="1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2.75" customHeight="1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2.75" customHeight="1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2.75" customHeight="1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2.75" customHeight="1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2.75" customHeight="1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2.75" customHeight="1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2.75" customHeight="1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2.75" customHeight="1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2.75" customHeight="1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2.75" customHeight="1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2.75" customHeight="1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2.75" customHeight="1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2.75" customHeight="1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2.75" customHeight="1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2.75" customHeight="1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2.75" customHeight="1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2.75" customHeight="1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2.75" customHeight="1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2.75" customHeight="1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2.75" customHeight="1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2.75" customHeight="1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2.75" customHeight="1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2.75" customHeight="1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2.75" customHeight="1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2.75" customHeight="1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2.75" customHeight="1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2.75" customHeight="1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2.75" customHeight="1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2.75" customHeight="1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2.75" customHeight="1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2.75" customHeight="1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2.75" customHeight="1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2.75" customHeight="1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2.75" customHeight="1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2.75" customHeight="1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2.75" customHeight="1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2.75" customHeight="1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2.75" customHeight="1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2.75" customHeight="1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2.75" customHeight="1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2.75" customHeight="1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2.75" customHeight="1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2.75" customHeight="1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2.75" customHeight="1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2.75" customHeight="1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2.75" customHeight="1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2.75" customHeight="1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2.75" customHeight="1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2.75" customHeight="1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2.75" customHeight="1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2.75" customHeight="1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2.75" customHeight="1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2.75" customHeight="1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2.75" customHeight="1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2.75" customHeight="1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2.75" customHeight="1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2.75" customHeight="1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2.75" customHeight="1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2.75" customHeight="1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2.75" customHeight="1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2.75" customHeight="1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2.75" customHeight="1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2.75" customHeight="1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2.75" customHeight="1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2.75" customHeight="1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2.75" customHeight="1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2.75" customHeight="1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2.75" customHeight="1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2.75" customHeight="1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2.75" customHeight="1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2.75" customHeight="1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2.75" customHeight="1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2.75" customHeight="1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2.75" customHeight="1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2.75" customHeight="1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2.75" customHeight="1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2.75" customHeight="1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2.75" customHeight="1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2.75" customHeight="1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2.75" customHeight="1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2.75" customHeight="1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2.75" customHeight="1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2.75" customHeight="1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2.75" customHeight="1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2.75" customHeight="1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2.75" customHeight="1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2.75" customHeight="1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2.75" customHeight="1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2.75" customHeight="1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2.75" customHeight="1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2.75" customHeight="1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2.75" customHeight="1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2.75" customHeight="1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2.75" customHeight="1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2.75" customHeight="1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2.75" customHeight="1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2.75" customHeight="1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2.75" customHeight="1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2.75" customHeight="1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2.75" customHeight="1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2.75" customHeight="1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2.75" customHeight="1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2.75" customHeight="1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2.75" customHeight="1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2.75" customHeight="1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2.75" customHeight="1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2.75" customHeight="1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2.75" customHeight="1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2.75" customHeight="1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2.75" customHeight="1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2.75" customHeight="1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2.75" customHeight="1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2.75" customHeight="1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2.75" customHeight="1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2.75" customHeight="1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2.75" customHeight="1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2.75" customHeight="1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2.75" customHeight="1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2.75" customHeight="1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2.75" customHeight="1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2.75" customHeight="1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2.75" customHeight="1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2.75" customHeight="1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2.75" customHeight="1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2.75" customHeight="1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2.75" customHeight="1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2.75" customHeight="1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2.75" customHeight="1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2.75" customHeight="1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2.75" customHeight="1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2.75" customHeight="1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2.75" customHeight="1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2.75" customHeight="1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2.75" customHeight="1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2.75" customHeight="1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2.75" customHeight="1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2.75" customHeight="1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2.75" customHeight="1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2.75" customHeight="1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2.75" customHeight="1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2.75" customHeight="1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2.75" customHeight="1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2.75" customHeight="1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2.75" customHeight="1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2.75" customHeight="1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2.75" customHeight="1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2.75" customHeight="1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2.75" customHeight="1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2.75" customHeight="1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2.75" customHeight="1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2.75" customHeight="1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2.75" customHeight="1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2.75" customHeight="1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2.75" customHeight="1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2.75" customHeight="1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2.75" customHeight="1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2.75" customHeight="1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2.75" customHeight="1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2.75" customHeight="1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2.75" customHeight="1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2.75" customHeight="1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2.75" customHeight="1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2.75" customHeight="1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2.75" customHeight="1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2.75" customHeight="1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2.75" customHeight="1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2.75" customHeight="1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2.75" customHeight="1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2.75" customHeight="1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2.75" customHeight="1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2.75" customHeight="1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2.75" customHeight="1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2.75" customHeight="1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2.75" customHeight="1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2.75" customHeight="1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2.75" customHeight="1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2.75" customHeight="1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2.75" customHeight="1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2.75" customHeight="1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2.75" customHeight="1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2.75" customHeight="1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2.75" customHeight="1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2.75" customHeight="1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2.75" customHeight="1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2.75" customHeight="1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2.75" customHeight="1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2.75" customHeight="1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2.75" customHeight="1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2.75" customHeight="1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2.75" customHeight="1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2.75" customHeight="1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2.75" customHeight="1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2.75" customHeight="1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2.75" customHeight="1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2.75" customHeight="1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2.75" customHeight="1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2.75" customHeight="1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2.75" customHeight="1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2.75" customHeight="1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2.75" customHeight="1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2.75" customHeight="1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2.75" customHeight="1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2.75" customHeight="1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2.75" customHeight="1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2.75" customHeight="1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2.75" customHeight="1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2.75" customHeight="1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2.75" customHeight="1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2.75" customHeight="1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2.75" customHeight="1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2.75" customHeight="1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2.75" customHeight="1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2.75" customHeight="1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2.75" customHeight="1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2.75" customHeight="1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2.75" customHeight="1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2.75" customHeight="1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2.75" customHeight="1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2.75" customHeight="1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2.75" customHeight="1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2.75" customHeight="1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2.75" customHeight="1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2.75" customHeight="1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2.75" customHeight="1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2.75" customHeight="1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2.75" customHeight="1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2.75" customHeight="1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2.75" customHeight="1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2.75" customHeight="1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2.75" customHeight="1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2.75" customHeight="1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2.75" customHeight="1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2.75" customHeight="1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2.75" customHeight="1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2.75" customHeight="1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2.75" customHeight="1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2.75" customHeight="1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2.75" customHeight="1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2.75" customHeight="1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2.75" customHeight="1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2.75" customHeight="1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2.75" customHeight="1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2.75" customHeight="1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2.75" customHeight="1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2.75" customHeight="1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2.75" customHeight="1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2.75" customHeight="1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2.75" customHeight="1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2.75" customHeight="1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2.75" customHeight="1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2.75" customHeight="1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2.75" customHeight="1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2.75" customHeight="1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2.75" customHeight="1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2.75" customHeight="1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2.75" customHeight="1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2.75" customHeight="1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2.75" customHeight="1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2.75" customHeight="1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2.75" customHeight="1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2.75" customHeight="1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2.75" customHeight="1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2.75" customHeight="1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2.75" customHeight="1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2.75" customHeight="1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2.75" customHeight="1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2.75" customHeight="1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2.75" customHeight="1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2.75" customHeight="1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2.75" customHeight="1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2.75" customHeight="1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2.75" customHeight="1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2.75" customHeight="1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2.75" customHeight="1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2.75" customHeight="1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2.75" customHeight="1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2.75" customHeight="1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2.75" customHeight="1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2.75" customHeight="1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2.75" customHeight="1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2.75" customHeight="1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2.75" customHeight="1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2.75" customHeight="1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2.75" customHeight="1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2.75" customHeight="1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2.75" customHeight="1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2.75" customHeight="1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2.75" customHeight="1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2.75" customHeight="1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2.75" customHeight="1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2.75" customHeight="1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2.75" customHeight="1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2.75" customHeight="1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2.75" customHeight="1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2.75" customHeight="1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2.75" customHeight="1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2.75" customHeight="1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2.75" customHeight="1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2.75" customHeight="1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2.75" customHeight="1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2.75" customHeight="1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2.75" customHeight="1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2.75" customHeight="1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2.75" customHeight="1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2.75" customHeight="1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2.75" customHeight="1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2.75" customHeight="1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2.75" customHeight="1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2.75" customHeight="1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2.75" customHeight="1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2.75" customHeight="1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2.75" customHeight="1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2.75" customHeight="1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2.75" customHeight="1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2.75" customHeight="1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2.75" customHeight="1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2.75" customHeight="1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2.75" customHeight="1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2.75" customHeight="1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2.75" customHeight="1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2.75" customHeight="1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2.75" customHeight="1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2.75" customHeight="1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2.75" customHeight="1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2.75" customHeight="1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2.75" customHeight="1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2.75" customHeight="1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2.75" customHeight="1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2.75" customHeight="1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2.75" customHeight="1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2.75" customHeight="1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2.75" customHeight="1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2.75" customHeight="1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2.75" customHeight="1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2.75" customHeight="1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2.75" customHeight="1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2.75" customHeight="1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2.75" customHeight="1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2.75" customHeight="1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2.75" customHeight="1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2.75" customHeight="1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2.75" customHeight="1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2.75" customHeight="1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2.75" customHeight="1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2.75" customHeight="1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2.75" customHeight="1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2.75" customHeight="1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2.75" customHeight="1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2.75" customHeight="1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2.75" customHeight="1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2.75" customHeight="1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2.75" customHeight="1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2.75" customHeight="1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2.75" customHeight="1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2.75" customHeight="1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2.75" customHeight="1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2.75" customHeight="1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2.75" customHeight="1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2.75" customHeight="1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2.75" customHeight="1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2.75" customHeight="1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2.75" customHeight="1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2.75" customHeight="1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2.75" customHeight="1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2.75" customHeight="1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2.75" customHeight="1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2.75" customHeight="1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2.75" customHeight="1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2.75" customHeight="1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2.75" customHeight="1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2.75" customHeight="1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2.75" customHeight="1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2.75" customHeight="1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2.75" customHeight="1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2.75" customHeight="1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2.75" customHeight="1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2.75" customHeight="1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2.75" customHeight="1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2.75" customHeight="1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2.75" customHeight="1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2.75" customHeight="1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2.75" customHeight="1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2.75" customHeight="1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2.75" customHeight="1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2.75" customHeight="1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2.75" customHeight="1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2.75" customHeight="1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2.75" customHeight="1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2.75" customHeight="1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2.75" customHeight="1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2.75" customHeight="1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2.75" customHeight="1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2.75" customHeight="1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2.75" customHeight="1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2.75" customHeight="1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2.75" customHeight="1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2.75" customHeight="1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2.75" customHeight="1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2.75" customHeight="1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2.75" customHeight="1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2.75" customHeight="1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2.75" customHeight="1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2.75" customHeight="1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2.75" customHeight="1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2.75" customHeight="1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2.75" customHeight="1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2.75" customHeight="1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2.75" customHeight="1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2.75" customHeight="1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2.75" customHeight="1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2.75" customHeight="1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2.75" customHeight="1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2.75" customHeight="1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2.75" customHeight="1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2.75" customHeight="1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2.75" customHeight="1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2.75" customHeight="1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2.75" customHeight="1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2.75" customHeight="1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2.75" customHeight="1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2.75" customHeight="1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2.75" customHeight="1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2.75" customHeight="1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2.75" customHeight="1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2.75" customHeight="1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2.75" customHeight="1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2.75" customHeight="1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2.75" customHeight="1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2.75" customHeight="1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2.75" customHeight="1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2.75" customHeight="1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2.75" customHeight="1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2.75" customHeight="1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2.75" customHeight="1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2.75" customHeight="1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2.75" customHeight="1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2.75" customHeight="1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2.75" customHeight="1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2.75" customHeight="1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2.75" customHeight="1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2.75" customHeight="1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2.75" customHeight="1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2.75" customHeight="1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2.75" customHeight="1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2.75" customHeight="1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2.75" customHeight="1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2.75" customHeight="1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2.75" customHeight="1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2.75" customHeight="1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2.75" customHeight="1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2.75" customHeight="1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2.75" customHeight="1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2.75" customHeight="1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2.75" customHeight="1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2.75" customHeight="1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2.75" customHeight="1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2.75" customHeight="1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2.75" customHeight="1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2.75" customHeight="1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2.75" customHeight="1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2.75" customHeight="1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2.75" customHeight="1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2.75" customHeight="1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2.75" customHeight="1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2.75" customHeight="1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2.75" customHeight="1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2.75" customHeight="1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2.75" customHeight="1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2.75" customHeight="1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2.75" customHeight="1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2.75" customHeight="1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2.75" customHeight="1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2.75" customHeight="1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2.75" customHeight="1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2.75" customHeight="1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2.75" customHeight="1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2.75" customHeight="1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2.75" customHeight="1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2.75" customHeight="1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2.75" customHeight="1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2.75" customHeight="1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2.75" customHeight="1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2.75" customHeight="1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2.75" customHeight="1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2.75" customHeight="1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2.75" customHeight="1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 ht="12.75" customHeight="1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spans="1:32" ht="12.75" customHeight="1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spans="1:32" ht="12.75" customHeight="1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74">
    <mergeCell ref="Z26:Z33"/>
    <mergeCell ref="F49:F53"/>
    <mergeCell ref="G49:G53"/>
    <mergeCell ref="F44:F48"/>
    <mergeCell ref="F39:F43"/>
    <mergeCell ref="G39:G43"/>
    <mergeCell ref="G44:G48"/>
    <mergeCell ref="J49:J53"/>
    <mergeCell ref="K49:K53"/>
    <mergeCell ref="H44:H48"/>
    <mergeCell ref="I44:I48"/>
    <mergeCell ref="M39:M43"/>
    <mergeCell ref="M44:M48"/>
    <mergeCell ref="M49:M53"/>
    <mergeCell ref="K39:K43"/>
    <mergeCell ref="J39:J43"/>
    <mergeCell ref="AA26:AA33"/>
    <mergeCell ref="AB26:AB33"/>
    <mergeCell ref="AD26:AD33"/>
    <mergeCell ref="AE26:AE33"/>
    <mergeCell ref="AF26:AF33"/>
    <mergeCell ref="AC26:AC33"/>
    <mergeCell ref="R24:T24"/>
    <mergeCell ref="E24:M24"/>
    <mergeCell ref="N24:Q24"/>
    <mergeCell ref="I62:I66"/>
    <mergeCell ref="H62:H66"/>
    <mergeCell ref="I39:I43"/>
    <mergeCell ref="H34:H38"/>
    <mergeCell ref="F34:F38"/>
    <mergeCell ref="G34:G38"/>
    <mergeCell ref="I54:I61"/>
    <mergeCell ref="H54:H61"/>
    <mergeCell ref="J54:J61"/>
    <mergeCell ref="J62:J66"/>
    <mergeCell ref="J34:J38"/>
    <mergeCell ref="J44:J48"/>
    <mergeCell ref="I26:I33"/>
    <mergeCell ref="H26:H33"/>
    <mergeCell ref="A2:Q2"/>
    <mergeCell ref="A3:A7"/>
    <mergeCell ref="B3:B6"/>
    <mergeCell ref="A23:C24"/>
    <mergeCell ref="L26:L33"/>
    <mergeCell ref="M26:M33"/>
    <mergeCell ref="G26:G33"/>
    <mergeCell ref="K26:K33"/>
    <mergeCell ref="J26:J33"/>
    <mergeCell ref="F26:F33"/>
    <mergeCell ref="E23:AF23"/>
    <mergeCell ref="U24:X24"/>
    <mergeCell ref="Y24:AF24"/>
    <mergeCell ref="Y26:Y33"/>
    <mergeCell ref="M62:M66"/>
    <mergeCell ref="K44:K48"/>
    <mergeCell ref="I49:I53"/>
    <mergeCell ref="L49:L53"/>
    <mergeCell ref="L62:L66"/>
    <mergeCell ref="L54:L61"/>
    <mergeCell ref="K62:K66"/>
    <mergeCell ref="K54:K61"/>
    <mergeCell ref="E26:E67"/>
    <mergeCell ref="A1:Q1"/>
    <mergeCell ref="F54:F61"/>
    <mergeCell ref="F62:F66"/>
    <mergeCell ref="I34:I38"/>
    <mergeCell ref="M34:M38"/>
    <mergeCell ref="K34:K38"/>
    <mergeCell ref="L34:L38"/>
    <mergeCell ref="H39:H43"/>
    <mergeCell ref="H49:H53"/>
    <mergeCell ref="L39:L43"/>
    <mergeCell ref="L44:L48"/>
    <mergeCell ref="M54:M61"/>
  </mergeCells>
  <phoneticPr fontId="70" type="noConversion"/>
  <conditionalFormatting sqref="U26 U27:X27">
    <cfRule type="cellIs" dxfId="91" priority="1" operator="equal">
      <formula>"验证通过"</formula>
    </cfRule>
  </conditionalFormatting>
  <conditionalFormatting sqref="U26 U27:X27">
    <cfRule type="cellIs" dxfId="90" priority="2" operator="equal">
      <formula>"验证未通过"</formula>
    </cfRule>
  </conditionalFormatting>
  <conditionalFormatting sqref="U26 U27:X27">
    <cfRule type="cellIs" dxfId="89" priority="3" operator="equal">
      <formula>"未验证"</formula>
    </cfRule>
  </conditionalFormatting>
  <conditionalFormatting sqref="F26:F33 F39:F53">
    <cfRule type="cellIs" dxfId="88" priority="4" operator="equal">
      <formula>"高"</formula>
    </cfRule>
  </conditionalFormatting>
  <conditionalFormatting sqref="F26:F33">
    <cfRule type="cellIs" dxfId="87" priority="5" operator="equal">
      <formula>"中"</formula>
    </cfRule>
  </conditionalFormatting>
  <conditionalFormatting sqref="G26:G53">
    <cfRule type="cellIs" dxfId="86" priority="6" operator="equal">
      <formula>"是"</formula>
    </cfRule>
  </conditionalFormatting>
  <conditionalFormatting sqref="G26:G53">
    <cfRule type="cellIs" dxfId="85" priority="7" operator="equal">
      <formula>"否"</formula>
    </cfRule>
  </conditionalFormatting>
  <conditionalFormatting sqref="F34:F38">
    <cfRule type="cellIs" dxfId="84" priority="8" operator="equal">
      <formula>"高"</formula>
    </cfRule>
  </conditionalFormatting>
  <conditionalFormatting sqref="F2:F22 F24:F54 F62 F67:F1000">
    <cfRule type="cellIs" dxfId="83" priority="9" operator="equal">
      <formula>"中"</formula>
    </cfRule>
  </conditionalFormatting>
  <conditionalFormatting sqref="F2:F22 F24:F54 F62 F67:F1000">
    <cfRule type="cellIs" dxfId="82" priority="10" operator="equal">
      <formula>"低"</formula>
    </cfRule>
  </conditionalFormatting>
  <conditionalFormatting sqref="U29:X53">
    <cfRule type="cellIs" dxfId="81" priority="11" operator="equal">
      <formula>"验证通过"</formula>
    </cfRule>
  </conditionalFormatting>
  <conditionalFormatting sqref="U29:X53">
    <cfRule type="cellIs" dxfId="80" priority="12" operator="equal">
      <formula>"验证未通过"</formula>
    </cfRule>
  </conditionalFormatting>
  <conditionalFormatting sqref="U29:X53">
    <cfRule type="cellIs" dxfId="79" priority="13" operator="equal">
      <formula>"未验证"</formula>
    </cfRule>
  </conditionalFormatting>
  <dataValidations count="5">
    <dataValidation type="list" allowBlank="1" sqref="U26:U182">
      <formula1>"未验证,验证通过,验证未通过"</formula1>
    </dataValidation>
    <dataValidation type="list" allowBlank="1" showErrorMessage="1" sqref="N403:N1000">
      <formula1>'埋点事件+事件级变量'!事件级变量</formula1>
    </dataValidation>
    <dataValidation type="list" allowBlank="1" sqref="G26 G34 G39 G44 G49">
      <formula1>"是,否"</formula1>
    </dataValidation>
    <dataValidation type="list" allowBlank="1" showErrorMessage="1" sqref="N26:N402">
      <formula1>$A$26:$A$101</formula1>
    </dataValidation>
    <dataValidation type="list" allowBlank="1" sqref="F26 F34 F39 F44 F49">
      <formula1>"高,中,低"</formula1>
    </dataValidation>
  </dataValidations>
  <hyperlinks>
    <hyperlink ref="Y34" r:id="rId1" location="19-she-zhi-zi-ding-yi-shi-jian-he-shi-jian-ji-bian-liang-track"/>
    <hyperlink ref="AA34" r:id="rId2" location="track"/>
    <hyperlink ref="AC34" r:id="rId3" location="track"/>
    <hyperlink ref="AE34" r:id="rId4" location="zi-ding-yi-shi-jian-pei-zhi"/>
  </hyperlinks>
  <pageMargins left="0.7" right="0.7" top="0.75" bottom="0.75" header="0" footer="0"/>
  <pageSetup paperSize="9" orientation="portrait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A1001"/>
  <sheetViews>
    <sheetView showGridLines="0" topLeftCell="A14" workbookViewId="0">
      <selection activeCell="E26" sqref="E26"/>
    </sheetView>
  </sheetViews>
  <sheetFormatPr baseColWidth="10" defaultColWidth="14.5" defaultRowHeight="15" customHeight="1" x14ac:dyDescent="0.15"/>
  <cols>
    <col min="1" max="1" width="19.83203125" customWidth="1"/>
    <col min="2" max="2" width="13.5" customWidth="1"/>
    <col min="3" max="3" width="13.6640625" customWidth="1"/>
    <col min="4" max="4" width="21.33203125" customWidth="1"/>
    <col min="5" max="5" width="20.6640625" customWidth="1"/>
    <col min="6" max="6" width="25.33203125" customWidth="1"/>
    <col min="7" max="7" width="38.6640625" customWidth="1"/>
    <col min="8" max="8" width="27" customWidth="1"/>
    <col min="9" max="12" width="27" hidden="1" customWidth="1"/>
    <col min="13" max="13" width="25.33203125" customWidth="1"/>
    <col min="14" max="15" width="20.1640625" customWidth="1"/>
    <col min="16" max="16" width="18.1640625" customWidth="1"/>
    <col min="17" max="17" width="27" customWidth="1"/>
    <col min="18" max="19" width="21.33203125" customWidth="1"/>
    <col min="20" max="20" width="29.83203125" customWidth="1"/>
    <col min="21" max="21" width="28.33203125" hidden="1" customWidth="1"/>
    <col min="22" max="22" width="31.33203125" hidden="1" customWidth="1"/>
    <col min="23" max="23" width="27" customWidth="1"/>
    <col min="24" max="24" width="23" customWidth="1"/>
    <col min="25" max="27" width="16.33203125" customWidth="1"/>
  </cols>
  <sheetData>
    <row r="1" spans="1:27" s="212" customFormat="1" ht="34" customHeight="1" x14ac:dyDescent="0.15">
      <c r="A1" s="228"/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</row>
    <row r="2" spans="1:27" ht="30" customHeight="1" x14ac:dyDescent="0.15">
      <c r="A2" s="274" t="s">
        <v>0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6"/>
    </row>
    <row r="3" spans="1:27" ht="18" x14ac:dyDescent="0.25">
      <c r="A3" s="275" t="s">
        <v>3</v>
      </c>
      <c r="B3" s="278" t="s">
        <v>5</v>
      </c>
      <c r="C3" s="4" t="s">
        <v>6</v>
      </c>
      <c r="D3" s="6"/>
      <c r="E3" s="6"/>
      <c r="F3" s="8"/>
      <c r="G3" s="10"/>
      <c r="H3" s="12"/>
      <c r="I3" s="12"/>
      <c r="J3" s="12"/>
      <c r="K3" s="12"/>
      <c r="L3" s="12"/>
      <c r="M3" s="12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2"/>
      <c r="AA3" s="2"/>
    </row>
    <row r="4" spans="1:27" ht="18" x14ac:dyDescent="0.25">
      <c r="A4" s="276"/>
      <c r="B4" s="276"/>
      <c r="C4" s="20" t="s">
        <v>8</v>
      </c>
      <c r="D4" s="21"/>
      <c r="E4" s="21"/>
      <c r="F4" s="23"/>
      <c r="G4" s="25"/>
      <c r="H4" s="27"/>
      <c r="I4" s="27"/>
      <c r="J4" s="27"/>
      <c r="K4" s="27"/>
      <c r="L4" s="27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2"/>
      <c r="AA4" s="2"/>
    </row>
    <row r="5" spans="1:27" ht="18" x14ac:dyDescent="0.15">
      <c r="A5" s="276"/>
      <c r="B5" s="277"/>
      <c r="C5" s="6" t="s">
        <v>21</v>
      </c>
      <c r="D5" s="6"/>
      <c r="E5" s="6"/>
      <c r="F5" s="30"/>
      <c r="G5" s="31"/>
      <c r="H5" s="27"/>
      <c r="I5" s="27"/>
      <c r="J5" s="27"/>
      <c r="K5" s="27"/>
      <c r="L5" s="27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2"/>
      <c r="AA5" s="2"/>
    </row>
    <row r="6" spans="1:27" ht="21" x14ac:dyDescent="0.15">
      <c r="A6" s="277"/>
      <c r="B6" s="32" t="s">
        <v>16</v>
      </c>
      <c r="C6" s="279" t="s">
        <v>22</v>
      </c>
      <c r="D6" s="261"/>
      <c r="E6" s="262"/>
      <c r="F6" s="30"/>
      <c r="G6" s="31"/>
      <c r="H6" s="27"/>
      <c r="I6" s="27"/>
      <c r="J6" s="27"/>
      <c r="K6" s="27"/>
      <c r="L6" s="27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2"/>
      <c r="AA6" s="2"/>
    </row>
    <row r="7" spans="1:27" ht="21" customHeight="1" x14ac:dyDescent="0.15">
      <c r="A7" s="27"/>
      <c r="B7" s="34"/>
      <c r="C7" s="27"/>
      <c r="D7" s="12"/>
      <c r="E7" s="12"/>
      <c r="F7" s="27"/>
      <c r="G7" s="27"/>
      <c r="H7" s="27"/>
      <c r="I7" s="27"/>
      <c r="J7" s="27"/>
      <c r="K7" s="27"/>
      <c r="L7" s="27"/>
      <c r="M7" s="27"/>
      <c r="N7" s="27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ht="21" customHeight="1" x14ac:dyDescent="0.15">
      <c r="A8" s="27"/>
      <c r="B8" s="34"/>
      <c r="C8" s="27"/>
      <c r="D8" s="12"/>
      <c r="E8" s="12"/>
      <c r="F8" s="27"/>
      <c r="G8" s="27"/>
      <c r="H8" s="27"/>
      <c r="I8" s="27"/>
      <c r="J8" s="27"/>
      <c r="K8" s="27"/>
      <c r="L8" s="27"/>
      <c r="M8" s="27"/>
      <c r="N8" s="27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ht="24" customHeight="1" x14ac:dyDescent="0.15">
      <c r="A9" s="35" t="s">
        <v>24</v>
      </c>
      <c r="B9" s="36" t="s">
        <v>25</v>
      </c>
      <c r="C9" s="12"/>
      <c r="D9" s="27"/>
      <c r="E9" s="27"/>
      <c r="F9" s="27"/>
      <c r="G9" s="27"/>
      <c r="H9" s="27"/>
      <c r="I9" s="27"/>
      <c r="J9" s="27"/>
      <c r="K9" s="27"/>
      <c r="L9" s="27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2"/>
      <c r="AA9" s="2"/>
    </row>
    <row r="10" spans="1:27" ht="24" customHeight="1" x14ac:dyDescent="0.15">
      <c r="A10" s="37"/>
      <c r="B10" s="34"/>
      <c r="C10" s="37"/>
      <c r="D10" s="39"/>
      <c r="E10" s="12"/>
      <c r="F10" s="27"/>
      <c r="G10" s="27"/>
      <c r="H10" s="27"/>
      <c r="I10" s="27"/>
      <c r="J10" s="27"/>
      <c r="K10" s="27"/>
      <c r="L10" s="27"/>
      <c r="M10" s="27"/>
      <c r="N10" s="27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24" customHeight="1" x14ac:dyDescent="0.15">
      <c r="A11" s="272" t="s">
        <v>28</v>
      </c>
      <c r="B11" s="235"/>
      <c r="C11" s="235"/>
      <c r="D11" s="235"/>
      <c r="E11" s="235"/>
      <c r="F11" s="235"/>
      <c r="G11" s="235"/>
      <c r="H11" s="236"/>
      <c r="I11" s="40"/>
      <c r="J11" s="40"/>
      <c r="K11" s="40"/>
      <c r="L11" s="40"/>
      <c r="M11" s="41"/>
      <c r="N11" s="41"/>
      <c r="O11" s="41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8" customHeight="1" x14ac:dyDescent="0.15">
      <c r="A12" s="293" t="s">
        <v>29</v>
      </c>
      <c r="B12" s="243"/>
      <c r="C12" s="244"/>
      <c r="D12" s="273" t="s">
        <v>30</v>
      </c>
      <c r="E12" s="252"/>
      <c r="F12" s="252"/>
      <c r="G12" s="252"/>
      <c r="H12" s="253"/>
      <c r="I12" s="251" t="s">
        <v>32</v>
      </c>
      <c r="J12" s="252"/>
      <c r="K12" s="252"/>
      <c r="L12" s="253"/>
      <c r="M12" s="43"/>
      <c r="N12" s="43"/>
      <c r="O12" s="4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42" x14ac:dyDescent="0.15">
      <c r="A13" s="294"/>
      <c r="B13" s="291"/>
      <c r="C13" s="295"/>
      <c r="D13" s="44" t="s">
        <v>35</v>
      </c>
      <c r="E13" s="44" t="s">
        <v>37</v>
      </c>
      <c r="F13" s="44" t="s">
        <v>38</v>
      </c>
      <c r="G13" s="44" t="s">
        <v>39</v>
      </c>
      <c r="H13" s="45" t="s">
        <v>40</v>
      </c>
      <c r="I13" s="47" t="s">
        <v>42</v>
      </c>
      <c r="J13" s="47" t="s">
        <v>46</v>
      </c>
      <c r="K13" s="47" t="s">
        <v>47</v>
      </c>
      <c r="L13" s="47" t="s">
        <v>48</v>
      </c>
      <c r="M13" s="2"/>
      <c r="N13" s="13"/>
      <c r="O13" s="13"/>
      <c r="P13" s="13"/>
      <c r="Q13" s="13"/>
      <c r="R13" s="13"/>
      <c r="S13" s="13"/>
      <c r="T13" s="13"/>
      <c r="U13" s="13"/>
      <c r="V13" s="49"/>
      <c r="W13" s="13"/>
      <c r="X13" s="13"/>
      <c r="Y13" s="13"/>
      <c r="Z13" s="2"/>
      <c r="AA13" s="2"/>
    </row>
    <row r="14" spans="1:27" ht="111.75" customHeight="1" x14ac:dyDescent="0.15">
      <c r="A14" s="288" t="s">
        <v>51</v>
      </c>
      <c r="B14" s="289"/>
      <c r="C14" s="290"/>
      <c r="D14" s="300" t="s">
        <v>59</v>
      </c>
      <c r="E14" s="55" t="s">
        <v>63</v>
      </c>
      <c r="F14" s="55" t="s">
        <v>66</v>
      </c>
      <c r="G14" s="57" t="s">
        <v>67</v>
      </c>
      <c r="H14" s="59" t="s">
        <v>68</v>
      </c>
      <c r="I14" s="62" t="s">
        <v>81</v>
      </c>
      <c r="J14" s="63" t="s">
        <v>83</v>
      </c>
      <c r="K14" s="63"/>
      <c r="L14" s="63"/>
      <c r="M14" s="2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2"/>
      <c r="AA14" s="2"/>
    </row>
    <row r="15" spans="1:27" ht="21" customHeight="1" x14ac:dyDescent="0.15">
      <c r="A15" s="281"/>
      <c r="B15" s="291"/>
      <c r="C15" s="292"/>
      <c r="D15" s="277"/>
      <c r="E15" s="68" t="s">
        <v>85</v>
      </c>
      <c r="F15" s="70" t="s">
        <v>92</v>
      </c>
      <c r="G15" s="70" t="s">
        <v>92</v>
      </c>
      <c r="H15" s="72" t="s">
        <v>92</v>
      </c>
      <c r="I15" s="73"/>
      <c r="J15" s="73"/>
      <c r="K15" s="73"/>
      <c r="L15" s="73"/>
      <c r="M15" s="2"/>
      <c r="N15" s="2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5" customHeight="1" x14ac:dyDescent="0.15">
      <c r="A16" s="13"/>
      <c r="B16" s="74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15" customHeight="1" x14ac:dyDescent="0.15">
      <c r="A17" s="13"/>
      <c r="B17" s="74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30.75" customHeight="1" x14ac:dyDescent="0.15">
      <c r="A18" s="272" t="s">
        <v>95</v>
      </c>
      <c r="B18" s="235"/>
      <c r="C18" s="235"/>
      <c r="D18" s="235"/>
      <c r="E18" s="235"/>
      <c r="F18" s="235"/>
      <c r="G18" s="235"/>
      <c r="H18" s="235"/>
      <c r="I18" s="235"/>
      <c r="J18" s="235"/>
      <c r="K18" s="235"/>
      <c r="L18" s="235"/>
      <c r="M18" s="235"/>
      <c r="N18" s="235"/>
      <c r="O18" s="235"/>
      <c r="P18" s="235"/>
      <c r="Q18" s="235"/>
      <c r="R18" s="235"/>
      <c r="S18" s="235"/>
      <c r="T18" s="236"/>
      <c r="U18" s="13"/>
      <c r="V18" s="13"/>
      <c r="W18" s="13"/>
      <c r="X18" s="13"/>
      <c r="Y18" s="13"/>
      <c r="Z18" s="13"/>
      <c r="AA18" s="13"/>
    </row>
    <row r="19" spans="1:27" ht="22.5" customHeight="1" x14ac:dyDescent="0.15">
      <c r="A19" s="285" t="s">
        <v>96</v>
      </c>
      <c r="B19" s="286"/>
      <c r="C19" s="286"/>
      <c r="D19" s="286"/>
      <c r="E19" s="286"/>
      <c r="F19" s="286"/>
      <c r="G19" s="286"/>
      <c r="H19" s="287"/>
      <c r="I19" s="251" t="s">
        <v>32</v>
      </c>
      <c r="J19" s="252"/>
      <c r="K19" s="252"/>
      <c r="L19" s="253"/>
      <c r="M19" s="283" t="s">
        <v>97</v>
      </c>
      <c r="N19" s="235"/>
      <c r="O19" s="235"/>
      <c r="P19" s="235"/>
      <c r="Q19" s="235"/>
      <c r="R19" s="235"/>
      <c r="S19" s="235"/>
      <c r="T19" s="236"/>
      <c r="U19" s="282" t="s">
        <v>98</v>
      </c>
      <c r="V19" s="236"/>
      <c r="W19" s="2"/>
      <c r="X19" s="2"/>
      <c r="Y19" s="13"/>
      <c r="Z19" s="13"/>
      <c r="AA19" s="13"/>
    </row>
    <row r="20" spans="1:27" ht="45.75" customHeight="1" x14ac:dyDescent="0.15">
      <c r="A20" s="75" t="s">
        <v>99</v>
      </c>
      <c r="B20" s="76" t="s">
        <v>100</v>
      </c>
      <c r="C20" s="77" t="s">
        <v>52</v>
      </c>
      <c r="D20" s="75" t="s">
        <v>101</v>
      </c>
      <c r="E20" s="75" t="s">
        <v>102</v>
      </c>
      <c r="F20" s="75" t="s">
        <v>103</v>
      </c>
      <c r="G20" s="78" t="s">
        <v>104</v>
      </c>
      <c r="H20" s="79" t="s">
        <v>105</v>
      </c>
      <c r="I20" s="47" t="s">
        <v>42</v>
      </c>
      <c r="J20" s="47" t="s">
        <v>46</v>
      </c>
      <c r="K20" s="47" t="s">
        <v>47</v>
      </c>
      <c r="L20" s="47" t="s">
        <v>48</v>
      </c>
      <c r="M20" s="80" t="s">
        <v>69</v>
      </c>
      <c r="N20" s="44" t="s">
        <v>106</v>
      </c>
      <c r="O20" s="44" t="s">
        <v>107</v>
      </c>
      <c r="P20" s="44" t="s">
        <v>108</v>
      </c>
      <c r="Q20" s="44" t="s">
        <v>109</v>
      </c>
      <c r="R20" s="44" t="s">
        <v>110</v>
      </c>
      <c r="S20" s="44" t="s">
        <v>111</v>
      </c>
      <c r="T20" s="44" t="s">
        <v>112</v>
      </c>
      <c r="U20" s="81" t="s">
        <v>113</v>
      </c>
      <c r="V20" s="81" t="s">
        <v>114</v>
      </c>
      <c r="W20" s="81"/>
      <c r="X20" s="82"/>
      <c r="Y20" s="82"/>
      <c r="Z20" s="82"/>
      <c r="AA20" s="82"/>
    </row>
    <row r="21" spans="1:27" ht="96" x14ac:dyDescent="0.15">
      <c r="A21" s="284" t="s">
        <v>51</v>
      </c>
      <c r="B21" s="284" t="s">
        <v>115</v>
      </c>
      <c r="C21" s="299">
        <v>1</v>
      </c>
      <c r="D21" s="296" t="s">
        <v>116</v>
      </c>
      <c r="E21" s="297" t="s">
        <v>117</v>
      </c>
      <c r="F21" s="298" t="s">
        <v>118</v>
      </c>
      <c r="G21" s="297" t="s">
        <v>119</v>
      </c>
      <c r="H21" s="280" t="s">
        <v>346</v>
      </c>
      <c r="I21" s="62" t="s">
        <v>93</v>
      </c>
      <c r="J21" s="83"/>
      <c r="K21" s="83"/>
      <c r="L21" s="83"/>
      <c r="M21" s="84" t="s">
        <v>120</v>
      </c>
      <c r="N21" s="85" t="str">
        <f>"gio('people.set', '"&amp;D21&amp;"', 'VALUE');"</f>
        <v>gio('people.set', 'memberLevel_ppl', 'VALUE');</v>
      </c>
      <c r="O21" s="86" t="s">
        <v>121</v>
      </c>
      <c r="P21" s="85" t="str">
        <f>CONCATENATE("[Growing setPeopleVariableWithKey:"&amp;V21)</f>
        <v>[Growing setPeopleVariableWithKey:@"memberLevel_ppl" andStringValue: @"VALUE"];</v>
      </c>
      <c r="Q21" s="85" t="s">
        <v>122</v>
      </c>
      <c r="R21" s="85" t="str">
        <f>CONCATENATE("GrowingIO gio = GrowingIO.getInstance();
gio.setPeopleVariable"&amp;U21)</f>
        <v>GrowingIO gio = GrowingIO.getInstance();
gio.setPeopleVariable("memberLevel_ppl","VALUE");</v>
      </c>
      <c r="S21" s="86" t="s">
        <v>124</v>
      </c>
      <c r="T21" s="85" t="str">
        <f>"gio('setUser',{ 
'"&amp;D21&amp;"': 'VALUE'
)};"</f>
        <v>gio('setUser',{ 
'memberLevel_ppl': 'VALUE'
)};</v>
      </c>
      <c r="U21" s="87" t="str">
        <f>CONCATENATE("("""&amp;D21&amp;""",""VALUE"");")</f>
        <v>("memberLevel_ppl","VALUE");</v>
      </c>
      <c r="V21" s="87" t="str">
        <f>CONCATENATE("@"""&amp;D21&amp;""" andStringValue: @""VALUE""];")</f>
        <v>@"memberLevel_ppl" andStringValue: @"VALUE"];</v>
      </c>
      <c r="W21" s="87"/>
      <c r="X21" s="88"/>
      <c r="Y21" s="88"/>
      <c r="Z21" s="88"/>
      <c r="AA21" s="88"/>
    </row>
    <row r="22" spans="1:27" ht="23.25" customHeight="1" x14ac:dyDescent="0.15">
      <c r="A22" s="276"/>
      <c r="B22" s="277"/>
      <c r="C22" s="277"/>
      <c r="D22" s="277"/>
      <c r="E22" s="277"/>
      <c r="F22" s="277"/>
      <c r="G22" s="277"/>
      <c r="H22" s="281"/>
      <c r="I22" s="89" t="s">
        <v>81</v>
      </c>
      <c r="J22" s="62" t="s">
        <v>125</v>
      </c>
      <c r="K22" s="62"/>
      <c r="L22" s="62"/>
      <c r="M22" s="90" t="s">
        <v>92</v>
      </c>
      <c r="N22" s="91"/>
      <c r="O22" s="70" t="s">
        <v>92</v>
      </c>
      <c r="P22" s="92"/>
      <c r="Q22" s="70" t="s">
        <v>92</v>
      </c>
      <c r="R22" s="92"/>
      <c r="S22" s="93" t="s">
        <v>126</v>
      </c>
      <c r="T22" s="92"/>
      <c r="U22" s="70" t="s">
        <v>92</v>
      </c>
      <c r="V22" s="83"/>
      <c r="W22" s="94"/>
      <c r="X22" s="2"/>
      <c r="Y22" s="13"/>
      <c r="Z22" s="13"/>
      <c r="AA22" s="13"/>
    </row>
    <row r="23" spans="1:27" ht="23.25" customHeight="1" x14ac:dyDescent="0.15">
      <c r="A23" s="276"/>
      <c r="B23" s="95"/>
      <c r="C23" s="96"/>
      <c r="D23" s="97"/>
      <c r="E23" s="91"/>
      <c r="F23" s="98"/>
      <c r="G23" s="98"/>
      <c r="H23" s="99"/>
      <c r="I23" s="100"/>
      <c r="J23" s="100"/>
      <c r="K23" s="100"/>
      <c r="L23" s="100"/>
      <c r="M23" s="101"/>
      <c r="N23" s="101"/>
      <c r="O23" s="2"/>
      <c r="P23" s="10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9.5" customHeight="1" x14ac:dyDescent="0.15">
      <c r="A24" s="276"/>
      <c r="B24" s="103"/>
      <c r="C24" s="104"/>
      <c r="D24" s="97"/>
      <c r="E24" s="91"/>
      <c r="F24" s="98"/>
      <c r="G24" s="98"/>
      <c r="H24" s="105"/>
      <c r="I24" s="89"/>
      <c r="J24" s="89"/>
      <c r="K24" s="89"/>
      <c r="L24" s="89"/>
      <c r="M24" s="101"/>
      <c r="N24" s="101"/>
      <c r="O24" s="2"/>
      <c r="P24" s="13"/>
      <c r="Q24" s="94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9.5" customHeight="1" x14ac:dyDescent="0.15">
      <c r="A25" s="276"/>
      <c r="B25" s="103"/>
      <c r="C25" s="104"/>
      <c r="D25" s="97"/>
      <c r="E25" s="91"/>
      <c r="F25" s="98"/>
      <c r="G25" s="98"/>
      <c r="H25" s="105"/>
      <c r="I25" s="89"/>
      <c r="J25" s="89"/>
      <c r="K25" s="89"/>
      <c r="L25" s="89"/>
      <c r="M25" s="101"/>
      <c r="N25" s="101"/>
      <c r="O25" s="106"/>
      <c r="P25" s="106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9.5" customHeight="1" x14ac:dyDescent="0.15">
      <c r="A26" s="276"/>
      <c r="B26" s="103"/>
      <c r="C26" s="83"/>
      <c r="D26" s="83"/>
      <c r="E26" s="83"/>
      <c r="F26" s="83"/>
      <c r="G26" s="83"/>
      <c r="H26" s="107"/>
      <c r="I26" s="89"/>
      <c r="J26" s="89"/>
      <c r="K26" s="89"/>
      <c r="L26" s="89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9.5" customHeight="1" x14ac:dyDescent="0.15">
      <c r="A27" s="276"/>
      <c r="B27" s="103"/>
      <c r="C27" s="83"/>
      <c r="D27" s="83"/>
      <c r="E27" s="83"/>
      <c r="F27" s="83"/>
      <c r="G27" s="83"/>
      <c r="H27" s="107"/>
      <c r="I27" s="89"/>
      <c r="J27" s="89"/>
      <c r="K27" s="89"/>
      <c r="L27" s="89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9.5" customHeight="1" x14ac:dyDescent="0.15">
      <c r="A28" s="276"/>
      <c r="B28" s="103"/>
      <c r="C28" s="83"/>
      <c r="D28" s="83"/>
      <c r="E28" s="83"/>
      <c r="F28" s="83"/>
      <c r="G28" s="83"/>
      <c r="H28" s="107"/>
      <c r="I28" s="89"/>
      <c r="J28" s="89"/>
      <c r="K28" s="89"/>
      <c r="L28" s="89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9.5" customHeight="1" x14ac:dyDescent="0.15">
      <c r="A29" s="277"/>
      <c r="B29" s="103"/>
      <c r="C29" s="83"/>
      <c r="D29" s="83"/>
      <c r="E29" s="83"/>
      <c r="F29" s="83"/>
      <c r="G29" s="83"/>
      <c r="H29" s="107"/>
      <c r="I29" s="62" t="s">
        <v>129</v>
      </c>
      <c r="J29" s="62" t="s">
        <v>130</v>
      </c>
      <c r="K29" s="62"/>
      <c r="L29" s="6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9.5" customHeight="1" x14ac:dyDescent="0.15">
      <c r="A30" s="83"/>
      <c r="B30" s="103"/>
      <c r="C30" s="83"/>
      <c r="D30" s="83"/>
      <c r="E30" s="83"/>
      <c r="F30" s="83"/>
      <c r="G30" s="83"/>
      <c r="H30" s="107"/>
      <c r="I30" s="89"/>
      <c r="J30" s="89"/>
      <c r="K30" s="89"/>
      <c r="L30" s="89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9.5" customHeight="1" x14ac:dyDescent="0.15">
      <c r="A31" s="83"/>
      <c r="B31" s="103"/>
      <c r="C31" s="83"/>
      <c r="D31" s="83"/>
      <c r="E31" s="83"/>
      <c r="F31" s="83"/>
      <c r="G31" s="83"/>
      <c r="H31" s="107"/>
      <c r="I31" s="89"/>
      <c r="J31" s="89"/>
      <c r="K31" s="89"/>
      <c r="L31" s="89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9.5" customHeight="1" x14ac:dyDescent="0.15">
      <c r="A32" s="83"/>
      <c r="B32" s="103"/>
      <c r="C32" s="83"/>
      <c r="D32" s="83"/>
      <c r="E32" s="83"/>
      <c r="F32" s="83"/>
      <c r="G32" s="83"/>
      <c r="H32" s="107"/>
      <c r="I32" s="89"/>
      <c r="J32" s="89"/>
      <c r="K32" s="89"/>
      <c r="L32" s="89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9.5" customHeight="1" x14ac:dyDescent="0.15">
      <c r="A33" s="83"/>
      <c r="B33" s="103"/>
      <c r="C33" s="83"/>
      <c r="D33" s="83"/>
      <c r="E33" s="83"/>
      <c r="F33" s="83"/>
      <c r="G33" s="83"/>
      <c r="H33" s="107"/>
      <c r="I33" s="89"/>
      <c r="J33" s="89"/>
      <c r="K33" s="89"/>
      <c r="L33" s="89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9.5" customHeight="1" x14ac:dyDescent="0.15">
      <c r="A34" s="83"/>
      <c r="B34" s="103"/>
      <c r="C34" s="83"/>
      <c r="D34" s="83"/>
      <c r="E34" s="83"/>
      <c r="F34" s="83"/>
      <c r="G34" s="83"/>
      <c r="H34" s="107"/>
      <c r="I34" s="62" t="s">
        <v>81</v>
      </c>
      <c r="J34" s="62"/>
      <c r="K34" s="62"/>
      <c r="L34" s="6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9.5" customHeight="1" x14ac:dyDescent="0.15">
      <c r="A35" s="83"/>
      <c r="B35" s="103"/>
      <c r="C35" s="83"/>
      <c r="D35" s="83"/>
      <c r="E35" s="83"/>
      <c r="F35" s="83"/>
      <c r="G35" s="83"/>
      <c r="H35" s="107"/>
      <c r="I35" s="89"/>
      <c r="J35" s="89"/>
      <c r="K35" s="89"/>
      <c r="L35" s="89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9.5" customHeight="1" x14ac:dyDescent="0.15">
      <c r="A36" s="83"/>
      <c r="B36" s="103"/>
      <c r="C36" s="83"/>
      <c r="D36" s="83"/>
      <c r="E36" s="83"/>
      <c r="F36" s="83"/>
      <c r="G36" s="83"/>
      <c r="H36" s="107"/>
      <c r="I36" s="89"/>
      <c r="J36" s="89"/>
      <c r="K36" s="89"/>
      <c r="L36" s="89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9.5" customHeight="1" x14ac:dyDescent="0.15">
      <c r="A37" s="83"/>
      <c r="B37" s="103"/>
      <c r="C37" s="83"/>
      <c r="D37" s="83"/>
      <c r="E37" s="83"/>
      <c r="F37" s="83"/>
      <c r="G37" s="83"/>
      <c r="H37" s="107"/>
      <c r="I37" s="89"/>
      <c r="J37" s="89"/>
      <c r="K37" s="89"/>
      <c r="L37" s="89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9.5" customHeight="1" x14ac:dyDescent="0.15">
      <c r="A38" s="83"/>
      <c r="B38" s="103"/>
      <c r="C38" s="83"/>
      <c r="D38" s="83"/>
      <c r="E38" s="83"/>
      <c r="F38" s="83"/>
      <c r="G38" s="83"/>
      <c r="H38" s="107"/>
      <c r="I38" s="89"/>
      <c r="J38" s="89"/>
      <c r="K38" s="89"/>
      <c r="L38" s="89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9.5" customHeight="1" x14ac:dyDescent="0.15">
      <c r="A39" s="83"/>
      <c r="B39" s="103"/>
      <c r="C39" s="83"/>
      <c r="D39" s="83"/>
      <c r="E39" s="83"/>
      <c r="F39" s="83"/>
      <c r="G39" s="83"/>
      <c r="H39" s="107"/>
      <c r="I39" s="89"/>
      <c r="J39" s="89"/>
      <c r="K39" s="89"/>
      <c r="L39" s="89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9.5" customHeight="1" x14ac:dyDescent="0.15">
      <c r="A40" s="83"/>
      <c r="B40" s="103"/>
      <c r="C40" s="83"/>
      <c r="D40" s="83"/>
      <c r="E40" s="83"/>
      <c r="F40" s="83"/>
      <c r="G40" s="83"/>
      <c r="H40" s="107"/>
      <c r="I40" s="89"/>
      <c r="J40" s="89"/>
      <c r="K40" s="89"/>
      <c r="L40" s="89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9.5" customHeight="1" x14ac:dyDescent="0.15">
      <c r="A41" s="83"/>
      <c r="B41" s="103"/>
      <c r="C41" s="83"/>
      <c r="D41" s="83"/>
      <c r="E41" s="83"/>
      <c r="F41" s="83"/>
      <c r="G41" s="83"/>
      <c r="H41" s="107"/>
      <c r="I41" s="89"/>
      <c r="J41" s="89"/>
      <c r="K41" s="89"/>
      <c r="L41" s="89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9.5" customHeight="1" x14ac:dyDescent="0.15">
      <c r="A42" s="83"/>
      <c r="B42" s="103"/>
      <c r="C42" s="83"/>
      <c r="D42" s="83"/>
      <c r="E42" s="83"/>
      <c r="F42" s="83"/>
      <c r="G42" s="83"/>
      <c r="H42" s="107"/>
      <c r="I42" s="89"/>
      <c r="J42" s="89"/>
      <c r="K42" s="89"/>
      <c r="L42" s="89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9.5" customHeight="1" x14ac:dyDescent="0.15">
      <c r="A43" s="83"/>
      <c r="B43" s="103"/>
      <c r="C43" s="83"/>
      <c r="D43" s="83"/>
      <c r="E43" s="83"/>
      <c r="F43" s="83"/>
      <c r="G43" s="83"/>
      <c r="H43" s="107"/>
      <c r="I43" s="89"/>
      <c r="J43" s="89"/>
      <c r="K43" s="89"/>
      <c r="L43" s="89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9.5" customHeight="1" x14ac:dyDescent="0.15">
      <c r="A44" s="2"/>
      <c r="B44" s="74"/>
      <c r="C44" s="2"/>
      <c r="D44" s="2"/>
      <c r="E44" s="2"/>
      <c r="F44" s="2"/>
      <c r="G44" s="2"/>
      <c r="H44" s="2"/>
      <c r="I44" s="89"/>
      <c r="J44" s="89"/>
      <c r="K44" s="89"/>
      <c r="L44" s="89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9.5" customHeight="1" x14ac:dyDescent="0.15">
      <c r="A45" s="2"/>
      <c r="B45" s="7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9.5" customHeight="1" x14ac:dyDescent="0.15">
      <c r="A46" s="2"/>
      <c r="B46" s="7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9.5" customHeight="1" x14ac:dyDescent="0.15">
      <c r="A47" s="2"/>
      <c r="B47" s="7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9.5" customHeight="1" x14ac:dyDescent="0.15">
      <c r="A48" s="2"/>
      <c r="B48" s="7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9.5" customHeight="1" x14ac:dyDescent="0.15">
      <c r="A49" s="2"/>
      <c r="B49" s="7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9.5" customHeight="1" x14ac:dyDescent="0.15">
      <c r="A50" s="2"/>
      <c r="B50" s="7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9.5" customHeight="1" x14ac:dyDescent="0.15">
      <c r="A51" s="2"/>
      <c r="B51" s="7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9.5" customHeight="1" x14ac:dyDescent="0.15">
      <c r="A52" s="2"/>
      <c r="B52" s="7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9.5" customHeight="1" x14ac:dyDescent="0.15">
      <c r="A53" s="2"/>
      <c r="B53" s="7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9.5" customHeight="1" x14ac:dyDescent="0.15">
      <c r="A54" s="2"/>
      <c r="B54" s="7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9.5" customHeight="1" x14ac:dyDescent="0.15">
      <c r="A55" s="2"/>
      <c r="B55" s="7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9.5" customHeight="1" x14ac:dyDescent="0.15">
      <c r="A56" s="2"/>
      <c r="B56" s="7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9.5" customHeight="1" x14ac:dyDescent="0.15">
      <c r="A57" s="2"/>
      <c r="B57" s="7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9.5" customHeight="1" x14ac:dyDescent="0.15">
      <c r="A58" s="2"/>
      <c r="B58" s="7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9.5" customHeight="1" x14ac:dyDescent="0.15">
      <c r="A59" s="2"/>
      <c r="B59" s="7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9.5" customHeight="1" x14ac:dyDescent="0.15">
      <c r="A60" s="2"/>
      <c r="B60" s="7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9.5" customHeight="1" x14ac:dyDescent="0.15">
      <c r="A61" s="2"/>
      <c r="B61" s="7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9.5" customHeight="1" x14ac:dyDescent="0.15">
      <c r="A62" s="2"/>
      <c r="B62" s="7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9.5" customHeight="1" x14ac:dyDescent="0.15">
      <c r="A63" s="2"/>
      <c r="B63" s="7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9.5" customHeight="1" x14ac:dyDescent="0.15">
      <c r="A64" s="2"/>
      <c r="B64" s="7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9.5" customHeight="1" x14ac:dyDescent="0.15">
      <c r="A65" s="2"/>
      <c r="B65" s="7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9.5" customHeight="1" x14ac:dyDescent="0.15">
      <c r="A66" s="2"/>
      <c r="B66" s="7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9.5" customHeight="1" x14ac:dyDescent="0.15">
      <c r="A67" s="2"/>
      <c r="B67" s="7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9.5" customHeight="1" x14ac:dyDescent="0.15">
      <c r="A68" s="2"/>
      <c r="B68" s="7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9.5" customHeight="1" x14ac:dyDescent="0.15">
      <c r="A69" s="2"/>
      <c r="B69" s="7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9.5" customHeight="1" x14ac:dyDescent="0.15">
      <c r="A70" s="2"/>
      <c r="B70" s="7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9.5" customHeight="1" x14ac:dyDescent="0.15">
      <c r="A71" s="2"/>
      <c r="B71" s="7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9.5" customHeight="1" x14ac:dyDescent="0.15">
      <c r="A72" s="2"/>
      <c r="B72" s="7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9.5" customHeight="1" x14ac:dyDescent="0.15">
      <c r="A73" s="2"/>
      <c r="B73" s="7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9.5" customHeight="1" x14ac:dyDescent="0.15">
      <c r="A74" s="2"/>
      <c r="B74" s="7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9.5" customHeight="1" x14ac:dyDescent="0.15">
      <c r="A75" s="2"/>
      <c r="B75" s="7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9.5" customHeight="1" x14ac:dyDescent="0.15">
      <c r="A76" s="2"/>
      <c r="B76" s="7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9.5" customHeight="1" x14ac:dyDescent="0.15">
      <c r="A77" s="2"/>
      <c r="B77" s="7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9.5" customHeight="1" x14ac:dyDescent="0.15">
      <c r="A78" s="2"/>
      <c r="B78" s="7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9.5" customHeight="1" x14ac:dyDescent="0.15">
      <c r="A79" s="2"/>
      <c r="B79" s="7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9.5" customHeight="1" x14ac:dyDescent="0.15">
      <c r="A80" s="2"/>
      <c r="B80" s="7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9.5" customHeight="1" x14ac:dyDescent="0.15">
      <c r="A81" s="2"/>
      <c r="B81" s="7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9.5" customHeight="1" x14ac:dyDescent="0.15">
      <c r="A82" s="2"/>
      <c r="B82" s="7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9.5" customHeight="1" x14ac:dyDescent="0.15">
      <c r="A83" s="2"/>
      <c r="B83" s="7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9.5" customHeight="1" x14ac:dyDescent="0.15">
      <c r="A84" s="2"/>
      <c r="B84" s="7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9.5" customHeight="1" x14ac:dyDescent="0.15">
      <c r="A85" s="2"/>
      <c r="B85" s="7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9.5" customHeight="1" x14ac:dyDescent="0.15">
      <c r="A86" s="2"/>
      <c r="B86" s="7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9.5" customHeight="1" x14ac:dyDescent="0.15">
      <c r="A87" s="2"/>
      <c r="B87" s="7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9.5" customHeight="1" x14ac:dyDescent="0.15">
      <c r="A88" s="2"/>
      <c r="B88" s="7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9.5" customHeight="1" x14ac:dyDescent="0.15">
      <c r="A89" s="2"/>
      <c r="B89" s="7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9.5" customHeight="1" x14ac:dyDescent="0.15">
      <c r="A90" s="2"/>
      <c r="B90" s="7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9.5" customHeight="1" x14ac:dyDescent="0.15">
      <c r="A91" s="2"/>
      <c r="B91" s="7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9.5" customHeight="1" x14ac:dyDescent="0.15">
      <c r="A92" s="2"/>
      <c r="B92" s="7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9.5" customHeight="1" x14ac:dyDescent="0.15">
      <c r="A93" s="2"/>
      <c r="B93" s="7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9.5" customHeight="1" x14ac:dyDescent="0.15">
      <c r="A94" s="2"/>
      <c r="B94" s="7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9.5" customHeight="1" x14ac:dyDescent="0.15">
      <c r="A95" s="2"/>
      <c r="B95" s="7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9.5" customHeight="1" x14ac:dyDescent="0.15">
      <c r="A96" s="2"/>
      <c r="B96" s="7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9.5" customHeight="1" x14ac:dyDescent="0.15">
      <c r="A97" s="2"/>
      <c r="B97" s="7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9.5" customHeight="1" x14ac:dyDescent="0.15">
      <c r="A98" s="2"/>
      <c r="B98" s="7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9.5" customHeight="1" x14ac:dyDescent="0.15">
      <c r="A99" s="2"/>
      <c r="B99" s="7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9.5" customHeight="1" x14ac:dyDescent="0.15">
      <c r="A100" s="2"/>
      <c r="B100" s="7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9.5" customHeight="1" x14ac:dyDescent="0.15">
      <c r="A101" s="2"/>
      <c r="B101" s="7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9.5" customHeight="1" x14ac:dyDescent="0.15">
      <c r="A102" s="2"/>
      <c r="B102" s="7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9.5" customHeight="1" x14ac:dyDescent="0.15">
      <c r="A103" s="2"/>
      <c r="B103" s="7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9.5" customHeight="1" x14ac:dyDescent="0.15">
      <c r="A104" s="2"/>
      <c r="B104" s="7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9.5" customHeight="1" x14ac:dyDescent="0.15">
      <c r="A105" s="2"/>
      <c r="B105" s="7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9.5" customHeight="1" x14ac:dyDescent="0.15">
      <c r="A106" s="2"/>
      <c r="B106" s="7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9.5" customHeight="1" x14ac:dyDescent="0.15">
      <c r="A107" s="2"/>
      <c r="B107" s="7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9.5" customHeight="1" x14ac:dyDescent="0.15">
      <c r="A108" s="2"/>
      <c r="B108" s="7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9.5" customHeight="1" x14ac:dyDescent="0.15">
      <c r="A109" s="2"/>
      <c r="B109" s="7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9.5" customHeight="1" x14ac:dyDescent="0.15">
      <c r="A110" s="2"/>
      <c r="B110" s="7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9.5" customHeight="1" x14ac:dyDescent="0.15">
      <c r="A111" s="2"/>
      <c r="B111" s="7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9.5" customHeight="1" x14ac:dyDescent="0.15">
      <c r="A112" s="2"/>
      <c r="B112" s="7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9.5" customHeight="1" x14ac:dyDescent="0.15">
      <c r="A113" s="2"/>
      <c r="B113" s="7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9.5" customHeight="1" x14ac:dyDescent="0.15">
      <c r="A114" s="2"/>
      <c r="B114" s="7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9.5" customHeight="1" x14ac:dyDescent="0.15">
      <c r="A115" s="2"/>
      <c r="B115" s="7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9.5" customHeight="1" x14ac:dyDescent="0.15">
      <c r="A116" s="2"/>
      <c r="B116" s="7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9.5" customHeight="1" x14ac:dyDescent="0.15">
      <c r="A117" s="2"/>
      <c r="B117" s="7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9.5" customHeight="1" x14ac:dyDescent="0.15">
      <c r="A118" s="2"/>
      <c r="B118" s="7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9.5" customHeight="1" x14ac:dyDescent="0.15">
      <c r="A119" s="2"/>
      <c r="B119" s="7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9.5" customHeight="1" x14ac:dyDescent="0.15">
      <c r="A120" s="2"/>
      <c r="B120" s="7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9.5" customHeight="1" x14ac:dyDescent="0.15">
      <c r="A121" s="2"/>
      <c r="B121" s="7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9.5" customHeight="1" x14ac:dyDescent="0.15">
      <c r="A122" s="2"/>
      <c r="B122" s="7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9.5" customHeight="1" x14ac:dyDescent="0.15">
      <c r="A123" s="2"/>
      <c r="B123" s="7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9.5" customHeight="1" x14ac:dyDescent="0.15">
      <c r="A124" s="2"/>
      <c r="B124" s="7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9.5" customHeight="1" x14ac:dyDescent="0.15">
      <c r="A125" s="2"/>
      <c r="B125" s="7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9.5" customHeight="1" x14ac:dyDescent="0.15">
      <c r="A126" s="2"/>
      <c r="B126" s="7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9.5" customHeight="1" x14ac:dyDescent="0.15">
      <c r="A127" s="2"/>
      <c r="B127" s="7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9.5" customHeight="1" x14ac:dyDescent="0.15">
      <c r="A128" s="2"/>
      <c r="B128" s="7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9.5" customHeight="1" x14ac:dyDescent="0.15">
      <c r="A129" s="2"/>
      <c r="B129" s="7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9.5" customHeight="1" x14ac:dyDescent="0.15">
      <c r="A130" s="2"/>
      <c r="B130" s="7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9.5" customHeight="1" x14ac:dyDescent="0.15">
      <c r="A131" s="2"/>
      <c r="B131" s="7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9.5" customHeight="1" x14ac:dyDescent="0.15">
      <c r="A132" s="2"/>
      <c r="B132" s="7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9.5" customHeight="1" x14ac:dyDescent="0.15">
      <c r="A133" s="2"/>
      <c r="B133" s="7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9.5" customHeight="1" x14ac:dyDescent="0.15">
      <c r="A134" s="2"/>
      <c r="B134" s="7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9.5" customHeight="1" x14ac:dyDescent="0.15">
      <c r="A135" s="2"/>
      <c r="B135" s="7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9.5" customHeight="1" x14ac:dyDescent="0.15">
      <c r="A136" s="2"/>
      <c r="B136" s="7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9.5" customHeight="1" x14ac:dyDescent="0.15">
      <c r="A137" s="2"/>
      <c r="B137" s="7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9.5" customHeight="1" x14ac:dyDescent="0.15">
      <c r="A138" s="2"/>
      <c r="B138" s="7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9.5" customHeight="1" x14ac:dyDescent="0.15">
      <c r="A139" s="2"/>
      <c r="B139" s="7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9.5" customHeight="1" x14ac:dyDescent="0.15">
      <c r="A140" s="2"/>
      <c r="B140" s="7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9.5" customHeight="1" x14ac:dyDescent="0.15">
      <c r="A141" s="2"/>
      <c r="B141" s="7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9.5" customHeight="1" x14ac:dyDescent="0.15">
      <c r="A142" s="2"/>
      <c r="B142" s="7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9.5" customHeight="1" x14ac:dyDescent="0.15">
      <c r="A143" s="2"/>
      <c r="B143" s="7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9.5" customHeight="1" x14ac:dyDescent="0.15">
      <c r="A144" s="2"/>
      <c r="B144" s="7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9.5" customHeight="1" x14ac:dyDescent="0.15">
      <c r="A145" s="2"/>
      <c r="B145" s="7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9.5" customHeight="1" x14ac:dyDescent="0.15">
      <c r="A146" s="2"/>
      <c r="B146" s="7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9.5" customHeight="1" x14ac:dyDescent="0.15">
      <c r="A147" s="2"/>
      <c r="B147" s="7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9.5" customHeight="1" x14ac:dyDescent="0.15">
      <c r="A148" s="2"/>
      <c r="B148" s="7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9.5" customHeight="1" x14ac:dyDescent="0.15">
      <c r="A149" s="2"/>
      <c r="B149" s="7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9.5" customHeight="1" x14ac:dyDescent="0.15">
      <c r="A150" s="2"/>
      <c r="B150" s="7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9.5" customHeight="1" x14ac:dyDescent="0.15">
      <c r="A151" s="2"/>
      <c r="B151" s="7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9.5" customHeight="1" x14ac:dyDescent="0.15">
      <c r="A152" s="2"/>
      <c r="B152" s="7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9.5" customHeight="1" x14ac:dyDescent="0.15">
      <c r="A153" s="2"/>
      <c r="B153" s="7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9.5" customHeight="1" x14ac:dyDescent="0.15">
      <c r="A154" s="2"/>
      <c r="B154" s="7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9.5" customHeight="1" x14ac:dyDescent="0.15">
      <c r="A155" s="2"/>
      <c r="B155" s="7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9.5" customHeight="1" x14ac:dyDescent="0.15">
      <c r="A156" s="2"/>
      <c r="B156" s="7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9.5" customHeight="1" x14ac:dyDescent="0.15">
      <c r="A157" s="2"/>
      <c r="B157" s="7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9.5" customHeight="1" x14ac:dyDescent="0.15">
      <c r="A158" s="2"/>
      <c r="B158" s="7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9.5" customHeight="1" x14ac:dyDescent="0.15">
      <c r="A159" s="2"/>
      <c r="B159" s="7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9.5" customHeight="1" x14ac:dyDescent="0.15">
      <c r="A160" s="2"/>
      <c r="B160" s="7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9.5" customHeight="1" x14ac:dyDescent="0.15">
      <c r="A161" s="2"/>
      <c r="B161" s="7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9.5" customHeight="1" x14ac:dyDescent="0.15">
      <c r="A162" s="2"/>
      <c r="B162" s="7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9.5" customHeight="1" x14ac:dyDescent="0.15">
      <c r="A163" s="2"/>
      <c r="B163" s="7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9.5" customHeight="1" x14ac:dyDescent="0.15">
      <c r="A164" s="2"/>
      <c r="B164" s="7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9.5" customHeight="1" x14ac:dyDescent="0.15">
      <c r="A165" s="2"/>
      <c r="B165" s="7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9.5" customHeight="1" x14ac:dyDescent="0.15">
      <c r="A166" s="2"/>
      <c r="B166" s="7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9.5" customHeight="1" x14ac:dyDescent="0.15">
      <c r="A167" s="2"/>
      <c r="B167" s="7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9.5" customHeight="1" x14ac:dyDescent="0.15">
      <c r="A168" s="2"/>
      <c r="B168" s="7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9.5" customHeight="1" x14ac:dyDescent="0.15">
      <c r="A169" s="2"/>
      <c r="B169" s="7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9.5" customHeight="1" x14ac:dyDescent="0.15">
      <c r="A170" s="2"/>
      <c r="B170" s="7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9.5" customHeight="1" x14ac:dyDescent="0.15">
      <c r="A171" s="2"/>
      <c r="B171" s="7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9.5" customHeight="1" x14ac:dyDescent="0.15">
      <c r="A172" s="2"/>
      <c r="B172" s="7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9.5" customHeight="1" x14ac:dyDescent="0.15">
      <c r="A173" s="2"/>
      <c r="B173" s="7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9.5" customHeight="1" x14ac:dyDescent="0.15">
      <c r="A174" s="2"/>
      <c r="B174" s="7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9.5" customHeight="1" x14ac:dyDescent="0.15">
      <c r="A175" s="2"/>
      <c r="B175" s="7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9.5" customHeight="1" x14ac:dyDescent="0.15">
      <c r="A176" s="2"/>
      <c r="B176" s="7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9.5" customHeight="1" x14ac:dyDescent="0.15">
      <c r="A177" s="2"/>
      <c r="B177" s="7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9.5" customHeight="1" x14ac:dyDescent="0.15">
      <c r="A178" s="2"/>
      <c r="B178" s="7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9.5" customHeight="1" x14ac:dyDescent="0.15">
      <c r="A179" s="2"/>
      <c r="B179" s="7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9.5" customHeight="1" x14ac:dyDescent="0.15">
      <c r="A180" s="2"/>
      <c r="B180" s="7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9.5" customHeight="1" x14ac:dyDescent="0.15">
      <c r="A181" s="2"/>
      <c r="B181" s="7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9.5" customHeight="1" x14ac:dyDescent="0.15">
      <c r="A182" s="2"/>
      <c r="B182" s="7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9.5" customHeight="1" x14ac:dyDescent="0.15">
      <c r="A183" s="2"/>
      <c r="B183" s="7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9.5" customHeight="1" x14ac:dyDescent="0.15">
      <c r="A184" s="2"/>
      <c r="B184" s="7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9.5" customHeight="1" x14ac:dyDescent="0.15">
      <c r="A185" s="2"/>
      <c r="B185" s="7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9.5" customHeight="1" x14ac:dyDescent="0.15">
      <c r="A186" s="2"/>
      <c r="B186" s="7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9.5" customHeight="1" x14ac:dyDescent="0.15">
      <c r="A187" s="2"/>
      <c r="B187" s="7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9.5" customHeight="1" x14ac:dyDescent="0.15">
      <c r="A188" s="2"/>
      <c r="B188" s="7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9.5" customHeight="1" x14ac:dyDescent="0.15">
      <c r="A189" s="2"/>
      <c r="B189" s="7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9.5" customHeight="1" x14ac:dyDescent="0.15">
      <c r="A190" s="2"/>
      <c r="B190" s="7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9.5" customHeight="1" x14ac:dyDescent="0.15">
      <c r="A191" s="2"/>
      <c r="B191" s="7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9.5" customHeight="1" x14ac:dyDescent="0.15">
      <c r="A192" s="2"/>
      <c r="B192" s="7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9.5" customHeight="1" x14ac:dyDescent="0.15">
      <c r="A193" s="2"/>
      <c r="B193" s="7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9.5" customHeight="1" x14ac:dyDescent="0.15">
      <c r="A194" s="2"/>
      <c r="B194" s="7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9.5" customHeight="1" x14ac:dyDescent="0.15">
      <c r="A195" s="2"/>
      <c r="B195" s="7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9.5" customHeight="1" x14ac:dyDescent="0.15">
      <c r="A196" s="2"/>
      <c r="B196" s="7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9.5" customHeight="1" x14ac:dyDescent="0.15">
      <c r="A197" s="2"/>
      <c r="B197" s="7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9.5" customHeight="1" x14ac:dyDescent="0.15">
      <c r="A198" s="2"/>
      <c r="B198" s="7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9.5" customHeight="1" x14ac:dyDescent="0.15">
      <c r="A199" s="2"/>
      <c r="B199" s="7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9.5" customHeight="1" x14ac:dyDescent="0.15">
      <c r="A200" s="2"/>
      <c r="B200" s="7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9.5" customHeight="1" x14ac:dyDescent="0.15">
      <c r="A201" s="2"/>
      <c r="B201" s="74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9.5" customHeight="1" x14ac:dyDescent="0.15">
      <c r="A202" s="2"/>
      <c r="B202" s="74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9.5" customHeight="1" x14ac:dyDescent="0.15">
      <c r="A203" s="2"/>
      <c r="B203" s="74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9.5" customHeight="1" x14ac:dyDescent="0.15">
      <c r="A204" s="2"/>
      <c r="B204" s="74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9.5" customHeight="1" x14ac:dyDescent="0.15">
      <c r="A205" s="2"/>
      <c r="B205" s="7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9.5" customHeight="1" x14ac:dyDescent="0.15">
      <c r="A206" s="2"/>
      <c r="B206" s="74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9.5" customHeight="1" x14ac:dyDescent="0.15">
      <c r="A207" s="2"/>
      <c r="B207" s="74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9.5" customHeight="1" x14ac:dyDescent="0.15">
      <c r="A208" s="2"/>
      <c r="B208" s="74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9.5" customHeight="1" x14ac:dyDescent="0.15">
      <c r="A209" s="2"/>
      <c r="B209" s="7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9.5" customHeight="1" x14ac:dyDescent="0.15">
      <c r="A210" s="2"/>
      <c r="B210" s="7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9.5" customHeight="1" x14ac:dyDescent="0.15">
      <c r="A211" s="2"/>
      <c r="B211" s="7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9.5" customHeight="1" x14ac:dyDescent="0.15">
      <c r="A212" s="2"/>
      <c r="B212" s="7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9.5" customHeight="1" x14ac:dyDescent="0.15">
      <c r="A213" s="2"/>
      <c r="B213" s="7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9.5" customHeight="1" x14ac:dyDescent="0.15">
      <c r="A214" s="2"/>
      <c r="B214" s="7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9.5" customHeight="1" x14ac:dyDescent="0.15">
      <c r="A215" s="2"/>
      <c r="B215" s="7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9.5" customHeight="1" x14ac:dyDescent="0.15">
      <c r="A216" s="2"/>
      <c r="B216" s="7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9.5" customHeight="1" x14ac:dyDescent="0.15">
      <c r="A217" s="2"/>
      <c r="B217" s="7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9.5" customHeight="1" x14ac:dyDescent="0.15">
      <c r="A218" s="2"/>
      <c r="B218" s="7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9.5" customHeight="1" x14ac:dyDescent="0.15">
      <c r="A219" s="2"/>
      <c r="B219" s="7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9.5" customHeight="1" x14ac:dyDescent="0.15">
      <c r="A220" s="2"/>
      <c r="B220" s="7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9.5" customHeight="1" x14ac:dyDescent="0.15">
      <c r="A221" s="2"/>
      <c r="B221" s="7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9.5" customHeight="1" x14ac:dyDescent="0.15">
      <c r="A222" s="2"/>
      <c r="B222" s="7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9.5" customHeight="1" x14ac:dyDescent="0.15">
      <c r="A223" s="2"/>
      <c r="B223" s="7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9.5" customHeight="1" x14ac:dyDescent="0.15">
      <c r="A224" s="2"/>
      <c r="B224" s="7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9.5" customHeight="1" x14ac:dyDescent="0.15">
      <c r="A225" s="2"/>
      <c r="B225" s="7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9.5" customHeight="1" x14ac:dyDescent="0.15">
      <c r="A226" s="2"/>
      <c r="B226" s="7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9.5" customHeight="1" x14ac:dyDescent="0.15">
      <c r="A227" s="2"/>
      <c r="B227" s="7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9.5" customHeight="1" x14ac:dyDescent="0.15">
      <c r="A228" s="2"/>
      <c r="B228" s="7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9.5" customHeight="1" x14ac:dyDescent="0.15">
      <c r="A229" s="2"/>
      <c r="B229" s="7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9.5" customHeight="1" x14ac:dyDescent="0.15">
      <c r="A230" s="2"/>
      <c r="B230" s="7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9.5" customHeight="1" x14ac:dyDescent="0.15">
      <c r="A231" s="2"/>
      <c r="B231" s="7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9.5" customHeight="1" x14ac:dyDescent="0.15">
      <c r="A232" s="2"/>
      <c r="B232" s="7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9.5" customHeight="1" x14ac:dyDescent="0.15">
      <c r="A233" s="2"/>
      <c r="B233" s="7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9.5" customHeight="1" x14ac:dyDescent="0.15">
      <c r="A234" s="2"/>
      <c r="B234" s="7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15">
      <c r="A235" s="2"/>
      <c r="B235" s="7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15">
      <c r="A236" s="2"/>
      <c r="B236" s="7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15">
      <c r="A237" s="2"/>
      <c r="B237" s="7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15">
      <c r="A238" s="2"/>
      <c r="B238" s="7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15">
      <c r="A239" s="2"/>
      <c r="B239" s="7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15">
      <c r="A240" s="2"/>
      <c r="B240" s="7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15">
      <c r="A241" s="2"/>
      <c r="B241" s="7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15">
      <c r="A242" s="2"/>
      <c r="B242" s="7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15">
      <c r="A243" s="2"/>
      <c r="B243" s="7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15">
      <c r="A244" s="2"/>
      <c r="B244" s="7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15">
      <c r="A245" s="2"/>
      <c r="B245" s="7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15">
      <c r="A246" s="2"/>
      <c r="B246" s="7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15">
      <c r="A247" s="2"/>
      <c r="B247" s="7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15">
      <c r="A248" s="2"/>
      <c r="B248" s="7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15">
      <c r="A249" s="2"/>
      <c r="B249" s="7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15">
      <c r="A250" s="2"/>
      <c r="B250" s="7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15">
      <c r="A251" s="2"/>
      <c r="B251" s="7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15">
      <c r="A252" s="2"/>
      <c r="B252" s="74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15">
      <c r="A253" s="2"/>
      <c r="B253" s="74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15">
      <c r="A254" s="2"/>
      <c r="B254" s="74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15">
      <c r="A255" s="2"/>
      <c r="B255" s="74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15">
      <c r="A256" s="2"/>
      <c r="B256" s="74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15">
      <c r="A257" s="2"/>
      <c r="B257" s="74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15">
      <c r="A258" s="2"/>
      <c r="B258" s="7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15">
      <c r="A259" s="2"/>
      <c r="B259" s="74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15">
      <c r="A260" s="2"/>
      <c r="B260" s="74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15">
      <c r="A261" s="2"/>
      <c r="B261" s="74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15">
      <c r="A262" s="2"/>
      <c r="B262" s="74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15">
      <c r="A263" s="2"/>
      <c r="B263" s="74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15">
      <c r="A264" s="2"/>
      <c r="B264" s="74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15">
      <c r="A265" s="2"/>
      <c r="B265" s="74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15">
      <c r="A266" s="2"/>
      <c r="B266" s="74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15">
      <c r="A267" s="2"/>
      <c r="B267" s="74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15">
      <c r="A268" s="2"/>
      <c r="B268" s="74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15">
      <c r="A269" s="2"/>
      <c r="B269" s="74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15">
      <c r="A270" s="2"/>
      <c r="B270" s="74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15">
      <c r="A271" s="2"/>
      <c r="B271" s="74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15">
      <c r="A272" s="2"/>
      <c r="B272" s="74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 x14ac:dyDescent="0.15">
      <c r="A273" s="2"/>
      <c r="B273" s="74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 x14ac:dyDescent="0.15">
      <c r="A274" s="2"/>
      <c r="B274" s="74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 x14ac:dyDescent="0.15">
      <c r="A275" s="2"/>
      <c r="B275" s="74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 x14ac:dyDescent="0.15">
      <c r="A276" s="2"/>
      <c r="B276" s="74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 x14ac:dyDescent="0.15">
      <c r="A277" s="2"/>
      <c r="B277" s="74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 x14ac:dyDescent="0.15">
      <c r="A278" s="2"/>
      <c r="B278" s="74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 x14ac:dyDescent="0.15">
      <c r="A279" s="2"/>
      <c r="B279" s="74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 x14ac:dyDescent="0.15">
      <c r="A280" s="2"/>
      <c r="B280" s="74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 x14ac:dyDescent="0.15">
      <c r="A281" s="2"/>
      <c r="B281" s="74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 x14ac:dyDescent="0.15">
      <c r="A282" s="2"/>
      <c r="B282" s="74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 x14ac:dyDescent="0.15">
      <c r="A283" s="2"/>
      <c r="B283" s="74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 x14ac:dyDescent="0.15">
      <c r="A284" s="2"/>
      <c r="B284" s="74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 x14ac:dyDescent="0.15">
      <c r="A285" s="2"/>
      <c r="B285" s="74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 x14ac:dyDescent="0.15">
      <c r="A286" s="2"/>
      <c r="B286" s="74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 x14ac:dyDescent="0.15">
      <c r="A287" s="2"/>
      <c r="B287" s="74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 x14ac:dyDescent="0.15">
      <c r="A288" s="2"/>
      <c r="B288" s="74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 x14ac:dyDescent="0.15">
      <c r="A289" s="2"/>
      <c r="B289" s="74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 x14ac:dyDescent="0.15">
      <c r="A290" s="2"/>
      <c r="B290" s="74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 x14ac:dyDescent="0.15">
      <c r="A291" s="2"/>
      <c r="B291" s="74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 x14ac:dyDescent="0.15">
      <c r="A292" s="2"/>
      <c r="B292" s="74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 x14ac:dyDescent="0.15">
      <c r="A293" s="2"/>
      <c r="B293" s="74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 x14ac:dyDescent="0.15">
      <c r="A294" s="2"/>
      <c r="B294" s="74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 x14ac:dyDescent="0.15">
      <c r="A295" s="2"/>
      <c r="B295" s="74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 x14ac:dyDescent="0.15">
      <c r="A296" s="2"/>
      <c r="B296" s="74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 x14ac:dyDescent="0.15">
      <c r="A297" s="2"/>
      <c r="B297" s="74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 x14ac:dyDescent="0.15">
      <c r="A298" s="2"/>
      <c r="B298" s="74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 x14ac:dyDescent="0.15">
      <c r="A299" s="2"/>
      <c r="B299" s="74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 x14ac:dyDescent="0.15">
      <c r="A300" s="2"/>
      <c r="B300" s="74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 x14ac:dyDescent="0.15">
      <c r="A301" s="2"/>
      <c r="B301" s="74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 x14ac:dyDescent="0.15">
      <c r="A302" s="2"/>
      <c r="B302" s="7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 x14ac:dyDescent="0.15">
      <c r="A303" s="2"/>
      <c r="B303" s="7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 x14ac:dyDescent="0.15">
      <c r="A304" s="2"/>
      <c r="B304" s="74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 x14ac:dyDescent="0.15">
      <c r="A305" s="2"/>
      <c r="B305" s="74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 x14ac:dyDescent="0.15">
      <c r="A306" s="2"/>
      <c r="B306" s="74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 x14ac:dyDescent="0.15">
      <c r="A307" s="2"/>
      <c r="B307" s="74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 x14ac:dyDescent="0.15">
      <c r="A308" s="2"/>
      <c r="B308" s="74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15">
      <c r="A309" s="2"/>
      <c r="B309" s="74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15">
      <c r="A310" s="2"/>
      <c r="B310" s="74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15">
      <c r="A311" s="2"/>
      <c r="B311" s="74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15">
      <c r="A312" s="2"/>
      <c r="B312" s="74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15">
      <c r="A313" s="2"/>
      <c r="B313" s="74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15">
      <c r="A314" s="2"/>
      <c r="B314" s="74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15">
      <c r="A315" s="2"/>
      <c r="B315" s="74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15">
      <c r="A316" s="2"/>
      <c r="B316" s="74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15">
      <c r="A317" s="2"/>
      <c r="B317" s="74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15">
      <c r="A318" s="2"/>
      <c r="B318" s="74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15">
      <c r="A319" s="2"/>
      <c r="B319" s="74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15">
      <c r="A320" s="2"/>
      <c r="B320" s="74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15">
      <c r="A321" s="2"/>
      <c r="B321" s="74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15">
      <c r="A322" s="2"/>
      <c r="B322" s="74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15">
      <c r="A323" s="2"/>
      <c r="B323" s="74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15">
      <c r="A324" s="2"/>
      <c r="B324" s="74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15">
      <c r="A325" s="2"/>
      <c r="B325" s="74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15">
      <c r="A326" s="2"/>
      <c r="B326" s="74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15">
      <c r="A327" s="2"/>
      <c r="B327" s="74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15">
      <c r="A328" s="2"/>
      <c r="B328" s="74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15">
      <c r="A329" s="2"/>
      <c r="B329" s="74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15">
      <c r="A330" s="2"/>
      <c r="B330" s="74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15">
      <c r="A331" s="2"/>
      <c r="B331" s="74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15">
      <c r="A332" s="2"/>
      <c r="B332" s="74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15">
      <c r="A333" s="2"/>
      <c r="B333" s="74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15">
      <c r="A334" s="2"/>
      <c r="B334" s="74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15">
      <c r="A335" s="2"/>
      <c r="B335" s="74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15">
      <c r="A336" s="2"/>
      <c r="B336" s="74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15">
      <c r="A337" s="2"/>
      <c r="B337" s="74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15">
      <c r="A338" s="2"/>
      <c r="B338" s="74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15">
      <c r="A339" s="2"/>
      <c r="B339" s="74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15">
      <c r="A340" s="2"/>
      <c r="B340" s="74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15">
      <c r="A341" s="2"/>
      <c r="B341" s="74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15">
      <c r="A342" s="2"/>
      <c r="B342" s="74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15">
      <c r="A343" s="2"/>
      <c r="B343" s="74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15">
      <c r="A344" s="2"/>
      <c r="B344" s="74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15">
      <c r="A345" s="2"/>
      <c r="B345" s="74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15">
      <c r="A346" s="2"/>
      <c r="B346" s="74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15">
      <c r="A347" s="2"/>
      <c r="B347" s="74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15">
      <c r="A348" s="2"/>
      <c r="B348" s="74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15">
      <c r="A349" s="2"/>
      <c r="B349" s="74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15">
      <c r="A350" s="2"/>
      <c r="B350" s="74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15">
      <c r="A351" s="2"/>
      <c r="B351" s="74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15">
      <c r="A352" s="2"/>
      <c r="B352" s="74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15">
      <c r="A353" s="2"/>
      <c r="B353" s="74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15">
      <c r="A354" s="2"/>
      <c r="B354" s="74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15">
      <c r="A355" s="2"/>
      <c r="B355" s="74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15">
      <c r="A356" s="2"/>
      <c r="B356" s="74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15">
      <c r="A357" s="2"/>
      <c r="B357" s="74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15">
      <c r="A358" s="2"/>
      <c r="B358" s="74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15">
      <c r="A359" s="2"/>
      <c r="B359" s="74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15">
      <c r="A360" s="2"/>
      <c r="B360" s="74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15">
      <c r="A361" s="2"/>
      <c r="B361" s="74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15">
      <c r="A362" s="2"/>
      <c r="B362" s="74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15">
      <c r="A363" s="2"/>
      <c r="B363" s="74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15">
      <c r="A364" s="2"/>
      <c r="B364" s="74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15">
      <c r="A365" s="2"/>
      <c r="B365" s="74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15">
      <c r="A366" s="2"/>
      <c r="B366" s="74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15">
      <c r="A367" s="2"/>
      <c r="B367" s="74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15">
      <c r="A368" s="2"/>
      <c r="B368" s="74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15">
      <c r="A369" s="2"/>
      <c r="B369" s="74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15">
      <c r="A370" s="2"/>
      <c r="B370" s="74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15">
      <c r="A371" s="2"/>
      <c r="B371" s="74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15">
      <c r="A372" s="2"/>
      <c r="B372" s="74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15">
      <c r="A373" s="2"/>
      <c r="B373" s="74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15">
      <c r="A374" s="2"/>
      <c r="B374" s="74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15">
      <c r="A375" s="2"/>
      <c r="B375" s="74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15">
      <c r="A376" s="2"/>
      <c r="B376" s="74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15">
      <c r="A377" s="2"/>
      <c r="B377" s="74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15">
      <c r="A378" s="2"/>
      <c r="B378" s="74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15">
      <c r="A379" s="2"/>
      <c r="B379" s="74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15">
      <c r="A380" s="2"/>
      <c r="B380" s="74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15">
      <c r="A381" s="2"/>
      <c r="B381" s="74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15">
      <c r="A382" s="2"/>
      <c r="B382" s="74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15">
      <c r="A383" s="2"/>
      <c r="B383" s="74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15">
      <c r="A384" s="2"/>
      <c r="B384" s="74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15">
      <c r="A385" s="2"/>
      <c r="B385" s="74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15">
      <c r="A386" s="2"/>
      <c r="B386" s="74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15">
      <c r="A387" s="2"/>
      <c r="B387" s="74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15">
      <c r="A388" s="2"/>
      <c r="B388" s="74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15">
      <c r="A389" s="2"/>
      <c r="B389" s="74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15">
      <c r="A390" s="2"/>
      <c r="B390" s="74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15">
      <c r="A391" s="2"/>
      <c r="B391" s="74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15">
      <c r="A392" s="2"/>
      <c r="B392" s="74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15">
      <c r="A393" s="2"/>
      <c r="B393" s="74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15">
      <c r="A394" s="2"/>
      <c r="B394" s="74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15">
      <c r="A395" s="2"/>
      <c r="B395" s="74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15">
      <c r="A396" s="2"/>
      <c r="B396" s="74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15">
      <c r="A397" s="2"/>
      <c r="B397" s="74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15">
      <c r="A398" s="2"/>
      <c r="B398" s="74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15">
      <c r="A399" s="2"/>
      <c r="B399" s="74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15">
      <c r="A400" s="2"/>
      <c r="B400" s="74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15">
      <c r="A401" s="2"/>
      <c r="B401" s="74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15">
      <c r="A402" s="2"/>
      <c r="B402" s="74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15">
      <c r="A403" s="2"/>
      <c r="B403" s="74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15">
      <c r="A404" s="2"/>
      <c r="B404" s="74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15">
      <c r="A405" s="2"/>
      <c r="B405" s="74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15">
      <c r="A406" s="2"/>
      <c r="B406" s="74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15">
      <c r="A407" s="2"/>
      <c r="B407" s="74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15">
      <c r="A408" s="2"/>
      <c r="B408" s="74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15">
      <c r="A409" s="2"/>
      <c r="B409" s="74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15">
      <c r="A410" s="2"/>
      <c r="B410" s="74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15">
      <c r="A411" s="2"/>
      <c r="B411" s="74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15">
      <c r="A412" s="2"/>
      <c r="B412" s="74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15">
      <c r="A413" s="2"/>
      <c r="B413" s="74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15">
      <c r="A414" s="2"/>
      <c r="B414" s="74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15">
      <c r="A415" s="2"/>
      <c r="B415" s="74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15">
      <c r="A416" s="2"/>
      <c r="B416" s="74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15">
      <c r="A417" s="2"/>
      <c r="B417" s="74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15">
      <c r="A418" s="2"/>
      <c r="B418" s="74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15">
      <c r="A419" s="2"/>
      <c r="B419" s="74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15">
      <c r="A420" s="2"/>
      <c r="B420" s="74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15">
      <c r="A421" s="2"/>
      <c r="B421" s="74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15">
      <c r="A422" s="2"/>
      <c r="B422" s="74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15">
      <c r="A423" s="2"/>
      <c r="B423" s="74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15">
      <c r="A424" s="2"/>
      <c r="B424" s="74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15">
      <c r="A425" s="2"/>
      <c r="B425" s="74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15">
      <c r="A426" s="2"/>
      <c r="B426" s="74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15">
      <c r="A427" s="2"/>
      <c r="B427" s="74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15">
      <c r="A428" s="2"/>
      <c r="B428" s="74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15">
      <c r="A429" s="2"/>
      <c r="B429" s="74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15">
      <c r="A430" s="2"/>
      <c r="B430" s="74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15">
      <c r="A431" s="2"/>
      <c r="B431" s="74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15">
      <c r="A432" s="2"/>
      <c r="B432" s="74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15">
      <c r="A433" s="2"/>
      <c r="B433" s="74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15">
      <c r="A434" s="2"/>
      <c r="B434" s="74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15">
      <c r="A435" s="2"/>
      <c r="B435" s="74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15">
      <c r="A436" s="2"/>
      <c r="B436" s="74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15">
      <c r="A437" s="2"/>
      <c r="B437" s="74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15">
      <c r="A438" s="2"/>
      <c r="B438" s="74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15">
      <c r="A439" s="2"/>
      <c r="B439" s="74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15">
      <c r="A440" s="2"/>
      <c r="B440" s="74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15">
      <c r="A441" s="2"/>
      <c r="B441" s="74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15">
      <c r="A442" s="2"/>
      <c r="B442" s="74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15">
      <c r="A443" s="2"/>
      <c r="B443" s="74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15">
      <c r="A444" s="2"/>
      <c r="B444" s="74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15">
      <c r="A445" s="2"/>
      <c r="B445" s="74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15">
      <c r="A446" s="2"/>
      <c r="B446" s="74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15">
      <c r="A447" s="2"/>
      <c r="B447" s="74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15">
      <c r="A448" s="2"/>
      <c r="B448" s="74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15">
      <c r="A449" s="2"/>
      <c r="B449" s="74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15">
      <c r="A450" s="2"/>
      <c r="B450" s="74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15">
      <c r="A451" s="2"/>
      <c r="B451" s="74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15">
      <c r="A452" s="2"/>
      <c r="B452" s="74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15">
      <c r="A453" s="2"/>
      <c r="B453" s="74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15">
      <c r="A454" s="2"/>
      <c r="B454" s="74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15">
      <c r="A455" s="2"/>
      <c r="B455" s="74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15">
      <c r="A456" s="2"/>
      <c r="B456" s="74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15">
      <c r="A457" s="2"/>
      <c r="B457" s="74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15">
      <c r="A458" s="2"/>
      <c r="B458" s="74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15">
      <c r="A459" s="2"/>
      <c r="B459" s="74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15">
      <c r="A460" s="2"/>
      <c r="B460" s="74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15">
      <c r="A461" s="2"/>
      <c r="B461" s="74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15">
      <c r="A462" s="2"/>
      <c r="B462" s="74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15">
      <c r="A463" s="2"/>
      <c r="B463" s="74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15">
      <c r="A464" s="2"/>
      <c r="B464" s="74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15">
      <c r="A465" s="2"/>
      <c r="B465" s="74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15">
      <c r="A466" s="2"/>
      <c r="B466" s="74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15">
      <c r="A467" s="2"/>
      <c r="B467" s="74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15">
      <c r="A468" s="2"/>
      <c r="B468" s="74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15">
      <c r="A469" s="2"/>
      <c r="B469" s="74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15">
      <c r="A470" s="2"/>
      <c r="B470" s="74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15">
      <c r="A471" s="2"/>
      <c r="B471" s="74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15">
      <c r="A472" s="2"/>
      <c r="B472" s="74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15">
      <c r="A473" s="2"/>
      <c r="B473" s="74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15">
      <c r="A474" s="2"/>
      <c r="B474" s="74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15">
      <c r="A475" s="2"/>
      <c r="B475" s="74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15">
      <c r="A476" s="2"/>
      <c r="B476" s="74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15">
      <c r="A477" s="2"/>
      <c r="B477" s="74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15">
      <c r="A478" s="2"/>
      <c r="B478" s="74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15">
      <c r="A479" s="2"/>
      <c r="B479" s="74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15">
      <c r="A480" s="2"/>
      <c r="B480" s="74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15">
      <c r="A481" s="2"/>
      <c r="B481" s="74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15">
      <c r="A482" s="2"/>
      <c r="B482" s="74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15">
      <c r="A483" s="2"/>
      <c r="B483" s="74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15">
      <c r="A484" s="2"/>
      <c r="B484" s="74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15">
      <c r="A485" s="2"/>
      <c r="B485" s="74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15">
      <c r="A486" s="2"/>
      <c r="B486" s="74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15">
      <c r="A487" s="2"/>
      <c r="B487" s="74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15">
      <c r="A488" s="2"/>
      <c r="B488" s="74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15">
      <c r="A489" s="2"/>
      <c r="B489" s="74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15">
      <c r="A490" s="2"/>
      <c r="B490" s="74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15">
      <c r="A491" s="2"/>
      <c r="B491" s="74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15">
      <c r="A492" s="2"/>
      <c r="B492" s="74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15">
      <c r="A493" s="2"/>
      <c r="B493" s="74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15">
      <c r="A494" s="2"/>
      <c r="B494" s="74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15">
      <c r="A495" s="2"/>
      <c r="B495" s="74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15">
      <c r="A496" s="2"/>
      <c r="B496" s="74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15">
      <c r="A497" s="2"/>
      <c r="B497" s="74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15">
      <c r="A498" s="2"/>
      <c r="B498" s="74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15">
      <c r="A499" s="2"/>
      <c r="B499" s="74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15">
      <c r="A500" s="2"/>
      <c r="B500" s="74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15">
      <c r="A501" s="2"/>
      <c r="B501" s="74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15">
      <c r="A502" s="2"/>
      <c r="B502" s="74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15">
      <c r="A503" s="2"/>
      <c r="B503" s="74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15">
      <c r="A504" s="2"/>
      <c r="B504" s="74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15">
      <c r="A505" s="2"/>
      <c r="B505" s="74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15">
      <c r="A506" s="2"/>
      <c r="B506" s="74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15">
      <c r="A507" s="2"/>
      <c r="B507" s="74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15">
      <c r="A508" s="2"/>
      <c r="B508" s="74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15">
      <c r="A509" s="2"/>
      <c r="B509" s="74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15">
      <c r="A510" s="2"/>
      <c r="B510" s="74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15">
      <c r="A511" s="2"/>
      <c r="B511" s="74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15">
      <c r="A512" s="2"/>
      <c r="B512" s="74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15">
      <c r="A513" s="2"/>
      <c r="B513" s="74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15">
      <c r="A514" s="2"/>
      <c r="B514" s="74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15">
      <c r="A515" s="2"/>
      <c r="B515" s="74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15">
      <c r="A516" s="2"/>
      <c r="B516" s="74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15">
      <c r="A517" s="2"/>
      <c r="B517" s="74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15">
      <c r="A518" s="2"/>
      <c r="B518" s="74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15">
      <c r="A519" s="2"/>
      <c r="B519" s="74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15">
      <c r="A520" s="2"/>
      <c r="B520" s="74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15">
      <c r="A521" s="2"/>
      <c r="B521" s="74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15">
      <c r="A522" s="2"/>
      <c r="B522" s="74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15">
      <c r="A523" s="2"/>
      <c r="B523" s="74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15">
      <c r="A524" s="2"/>
      <c r="B524" s="74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15">
      <c r="A525" s="2"/>
      <c r="B525" s="74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15">
      <c r="A526" s="2"/>
      <c r="B526" s="74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15">
      <c r="A527" s="2"/>
      <c r="B527" s="74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15">
      <c r="A528" s="2"/>
      <c r="B528" s="74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15">
      <c r="A529" s="2"/>
      <c r="B529" s="74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15">
      <c r="A530" s="2"/>
      <c r="B530" s="74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15">
      <c r="A531" s="2"/>
      <c r="B531" s="74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15">
      <c r="A532" s="2"/>
      <c r="B532" s="74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15">
      <c r="A533" s="2"/>
      <c r="B533" s="74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15">
      <c r="A534" s="2"/>
      <c r="B534" s="74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15">
      <c r="A535" s="2"/>
      <c r="B535" s="74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15">
      <c r="A536" s="2"/>
      <c r="B536" s="74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15">
      <c r="A537" s="2"/>
      <c r="B537" s="74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15">
      <c r="A538" s="2"/>
      <c r="B538" s="74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15">
      <c r="A539" s="2"/>
      <c r="B539" s="74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15">
      <c r="A540" s="2"/>
      <c r="B540" s="74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15">
      <c r="A541" s="2"/>
      <c r="B541" s="74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15">
      <c r="A542" s="2"/>
      <c r="B542" s="74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15">
      <c r="A543" s="2"/>
      <c r="B543" s="74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15">
      <c r="A544" s="2"/>
      <c r="B544" s="74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15">
      <c r="A545" s="2"/>
      <c r="B545" s="74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15">
      <c r="A546" s="2"/>
      <c r="B546" s="74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15">
      <c r="A547" s="2"/>
      <c r="B547" s="74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15">
      <c r="A548" s="2"/>
      <c r="B548" s="74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15">
      <c r="A549" s="2"/>
      <c r="B549" s="74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15">
      <c r="A550" s="2"/>
      <c r="B550" s="74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15">
      <c r="A551" s="2"/>
      <c r="B551" s="74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15">
      <c r="A552" s="2"/>
      <c r="B552" s="74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15">
      <c r="A553" s="2"/>
      <c r="B553" s="74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15">
      <c r="A554" s="2"/>
      <c r="B554" s="74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15">
      <c r="A555" s="2"/>
      <c r="B555" s="74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15">
      <c r="A556" s="2"/>
      <c r="B556" s="74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15">
      <c r="A557" s="2"/>
      <c r="B557" s="74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15">
      <c r="A558" s="2"/>
      <c r="B558" s="74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15">
      <c r="A559" s="2"/>
      <c r="B559" s="74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15">
      <c r="A560" s="2"/>
      <c r="B560" s="74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15">
      <c r="A561" s="2"/>
      <c r="B561" s="74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15">
      <c r="A562" s="2"/>
      <c r="B562" s="74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15">
      <c r="A563" s="2"/>
      <c r="B563" s="74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15">
      <c r="A564" s="2"/>
      <c r="B564" s="74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15">
      <c r="A565" s="2"/>
      <c r="B565" s="74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15">
      <c r="A566" s="2"/>
      <c r="B566" s="74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15">
      <c r="A567" s="2"/>
      <c r="B567" s="74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15">
      <c r="A568" s="2"/>
      <c r="B568" s="74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15">
      <c r="A569" s="2"/>
      <c r="B569" s="74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15">
      <c r="A570" s="2"/>
      <c r="B570" s="74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15">
      <c r="A571" s="2"/>
      <c r="B571" s="74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15">
      <c r="A572" s="2"/>
      <c r="B572" s="74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15">
      <c r="A573" s="2"/>
      <c r="B573" s="74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15">
      <c r="A574" s="2"/>
      <c r="B574" s="74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15">
      <c r="A575" s="2"/>
      <c r="B575" s="74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15">
      <c r="A576" s="2"/>
      <c r="B576" s="74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15">
      <c r="A577" s="2"/>
      <c r="B577" s="74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15">
      <c r="A578" s="2"/>
      <c r="B578" s="74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15">
      <c r="A579" s="2"/>
      <c r="B579" s="74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15">
      <c r="A580" s="2"/>
      <c r="B580" s="74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15">
      <c r="A581" s="2"/>
      <c r="B581" s="74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15">
      <c r="A582" s="2"/>
      <c r="B582" s="74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15">
      <c r="A583" s="2"/>
      <c r="B583" s="74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15">
      <c r="A584" s="2"/>
      <c r="B584" s="74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15">
      <c r="A585" s="2"/>
      <c r="B585" s="74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15">
      <c r="A586" s="2"/>
      <c r="B586" s="74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15">
      <c r="A587" s="2"/>
      <c r="B587" s="74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15">
      <c r="A588" s="2"/>
      <c r="B588" s="74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15">
      <c r="A589" s="2"/>
      <c r="B589" s="74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15">
      <c r="A590" s="2"/>
      <c r="B590" s="74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15">
      <c r="A591" s="2"/>
      <c r="B591" s="74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15">
      <c r="A592" s="2"/>
      <c r="B592" s="74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15">
      <c r="A593" s="2"/>
      <c r="B593" s="74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15">
      <c r="A594" s="2"/>
      <c r="B594" s="74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15">
      <c r="A595" s="2"/>
      <c r="B595" s="74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15">
      <c r="A596" s="2"/>
      <c r="B596" s="74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15">
      <c r="A597" s="2"/>
      <c r="B597" s="74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15">
      <c r="A598" s="2"/>
      <c r="B598" s="74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15">
      <c r="A599" s="2"/>
      <c r="B599" s="74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15">
      <c r="A600" s="2"/>
      <c r="B600" s="74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15">
      <c r="A601" s="2"/>
      <c r="B601" s="74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15">
      <c r="A602" s="2"/>
      <c r="B602" s="74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15">
      <c r="A603" s="2"/>
      <c r="B603" s="74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15">
      <c r="A604" s="2"/>
      <c r="B604" s="74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15">
      <c r="A605" s="2"/>
      <c r="B605" s="74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15">
      <c r="A606" s="2"/>
      <c r="B606" s="74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15">
      <c r="A607" s="2"/>
      <c r="B607" s="74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15">
      <c r="A608" s="2"/>
      <c r="B608" s="74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15">
      <c r="A609" s="2"/>
      <c r="B609" s="74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15">
      <c r="A610" s="2"/>
      <c r="B610" s="74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15">
      <c r="A611" s="2"/>
      <c r="B611" s="74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15">
      <c r="A612" s="2"/>
      <c r="B612" s="74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15">
      <c r="A613" s="2"/>
      <c r="B613" s="74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15">
      <c r="A614" s="2"/>
      <c r="B614" s="74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15">
      <c r="A615" s="2"/>
      <c r="B615" s="74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15">
      <c r="A616" s="2"/>
      <c r="B616" s="74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15">
      <c r="A617" s="2"/>
      <c r="B617" s="74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15">
      <c r="A618" s="2"/>
      <c r="B618" s="74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15">
      <c r="A619" s="2"/>
      <c r="B619" s="74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15">
      <c r="A620" s="2"/>
      <c r="B620" s="74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15">
      <c r="A621" s="2"/>
      <c r="B621" s="74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15">
      <c r="A622" s="2"/>
      <c r="B622" s="74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15">
      <c r="A623" s="2"/>
      <c r="B623" s="74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15">
      <c r="A624" s="2"/>
      <c r="B624" s="74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15">
      <c r="A625" s="2"/>
      <c r="B625" s="74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15">
      <c r="A626" s="2"/>
      <c r="B626" s="74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15">
      <c r="A627" s="2"/>
      <c r="B627" s="74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15">
      <c r="A628" s="2"/>
      <c r="B628" s="74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15">
      <c r="A629" s="2"/>
      <c r="B629" s="74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15">
      <c r="A630" s="2"/>
      <c r="B630" s="74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15">
      <c r="A631" s="2"/>
      <c r="B631" s="74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15">
      <c r="A632" s="2"/>
      <c r="B632" s="74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15">
      <c r="A633" s="2"/>
      <c r="B633" s="74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15">
      <c r="A634" s="2"/>
      <c r="B634" s="74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15">
      <c r="A635" s="2"/>
      <c r="B635" s="74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15">
      <c r="A636" s="2"/>
      <c r="B636" s="74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15">
      <c r="A637" s="2"/>
      <c r="B637" s="74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15">
      <c r="A638" s="2"/>
      <c r="B638" s="74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15">
      <c r="A639" s="2"/>
      <c r="B639" s="74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15">
      <c r="A640" s="2"/>
      <c r="B640" s="74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15">
      <c r="A641" s="2"/>
      <c r="B641" s="74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15">
      <c r="A642" s="2"/>
      <c r="B642" s="74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15">
      <c r="A643" s="2"/>
      <c r="B643" s="74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15">
      <c r="A644" s="2"/>
      <c r="B644" s="74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15">
      <c r="A645" s="2"/>
      <c r="B645" s="74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15">
      <c r="A646" s="2"/>
      <c r="B646" s="74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15">
      <c r="A647" s="2"/>
      <c r="B647" s="74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15">
      <c r="A648" s="2"/>
      <c r="B648" s="74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15">
      <c r="A649" s="2"/>
      <c r="B649" s="74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15">
      <c r="A650" s="2"/>
      <c r="B650" s="74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15">
      <c r="A651" s="2"/>
      <c r="B651" s="74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15">
      <c r="A652" s="2"/>
      <c r="B652" s="74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15">
      <c r="A653" s="2"/>
      <c r="B653" s="74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15">
      <c r="A654" s="2"/>
      <c r="B654" s="74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15">
      <c r="A655" s="2"/>
      <c r="B655" s="74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15">
      <c r="A656" s="2"/>
      <c r="B656" s="74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15">
      <c r="A657" s="2"/>
      <c r="B657" s="74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15">
      <c r="A658" s="2"/>
      <c r="B658" s="74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15">
      <c r="A659" s="2"/>
      <c r="B659" s="74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15">
      <c r="A660" s="2"/>
      <c r="B660" s="74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15">
      <c r="A661" s="2"/>
      <c r="B661" s="74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15">
      <c r="A662" s="2"/>
      <c r="B662" s="74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15">
      <c r="A663" s="2"/>
      <c r="B663" s="74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15">
      <c r="A664" s="2"/>
      <c r="B664" s="74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15">
      <c r="A665" s="2"/>
      <c r="B665" s="74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15">
      <c r="A666" s="2"/>
      <c r="B666" s="74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15">
      <c r="A667" s="2"/>
      <c r="B667" s="74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15">
      <c r="A668" s="2"/>
      <c r="B668" s="74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15">
      <c r="A669" s="2"/>
      <c r="B669" s="74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15">
      <c r="A670" s="2"/>
      <c r="B670" s="74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15">
      <c r="A671" s="2"/>
      <c r="B671" s="74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15">
      <c r="A672" s="2"/>
      <c r="B672" s="74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15">
      <c r="A673" s="2"/>
      <c r="B673" s="74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15">
      <c r="A674" s="2"/>
      <c r="B674" s="74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15">
      <c r="A675" s="2"/>
      <c r="B675" s="74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15">
      <c r="A676" s="2"/>
      <c r="B676" s="74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15">
      <c r="A677" s="2"/>
      <c r="B677" s="74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15">
      <c r="A678" s="2"/>
      <c r="B678" s="74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15">
      <c r="A679" s="2"/>
      <c r="B679" s="74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15">
      <c r="A680" s="2"/>
      <c r="B680" s="74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15">
      <c r="A681" s="2"/>
      <c r="B681" s="74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15">
      <c r="A682" s="2"/>
      <c r="B682" s="74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15">
      <c r="A683" s="2"/>
      <c r="B683" s="74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15">
      <c r="A684" s="2"/>
      <c r="B684" s="74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15">
      <c r="A685" s="2"/>
      <c r="B685" s="74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15">
      <c r="A686" s="2"/>
      <c r="B686" s="74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15">
      <c r="A687" s="2"/>
      <c r="B687" s="74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15">
      <c r="A688" s="2"/>
      <c r="B688" s="74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15">
      <c r="A689" s="2"/>
      <c r="B689" s="74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15">
      <c r="A690" s="2"/>
      <c r="B690" s="74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15">
      <c r="A691" s="2"/>
      <c r="B691" s="74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15">
      <c r="A692" s="2"/>
      <c r="B692" s="74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15">
      <c r="A693" s="2"/>
      <c r="B693" s="74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15">
      <c r="A694" s="2"/>
      <c r="B694" s="74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15">
      <c r="A695" s="2"/>
      <c r="B695" s="74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15">
      <c r="A696" s="2"/>
      <c r="B696" s="74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15">
      <c r="A697" s="2"/>
      <c r="B697" s="74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15">
      <c r="A698" s="2"/>
      <c r="B698" s="74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15">
      <c r="A699" s="2"/>
      <c r="B699" s="74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15">
      <c r="A700" s="2"/>
      <c r="B700" s="74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15">
      <c r="A701" s="2"/>
      <c r="B701" s="74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15">
      <c r="A702" s="2"/>
      <c r="B702" s="74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15">
      <c r="A703" s="2"/>
      <c r="B703" s="74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15">
      <c r="A704" s="2"/>
      <c r="B704" s="74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15">
      <c r="A705" s="2"/>
      <c r="B705" s="74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15">
      <c r="A706" s="2"/>
      <c r="B706" s="74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15">
      <c r="A707" s="2"/>
      <c r="B707" s="74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15">
      <c r="A708" s="2"/>
      <c r="B708" s="74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15">
      <c r="A709" s="2"/>
      <c r="B709" s="74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15">
      <c r="A710" s="2"/>
      <c r="B710" s="74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15">
      <c r="A711" s="2"/>
      <c r="B711" s="74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15">
      <c r="A712" s="2"/>
      <c r="B712" s="74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15">
      <c r="A713" s="2"/>
      <c r="B713" s="74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15">
      <c r="A714" s="2"/>
      <c r="B714" s="74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15">
      <c r="A715" s="2"/>
      <c r="B715" s="74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15">
      <c r="A716" s="2"/>
      <c r="B716" s="74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15">
      <c r="A717" s="2"/>
      <c r="B717" s="74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15">
      <c r="A718" s="2"/>
      <c r="B718" s="74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15">
      <c r="A719" s="2"/>
      <c r="B719" s="74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15">
      <c r="A720" s="2"/>
      <c r="B720" s="74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15">
      <c r="A721" s="2"/>
      <c r="B721" s="74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15">
      <c r="A722" s="2"/>
      <c r="B722" s="74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15">
      <c r="A723" s="2"/>
      <c r="B723" s="74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15">
      <c r="A724" s="2"/>
      <c r="B724" s="74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15">
      <c r="A725" s="2"/>
      <c r="B725" s="74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15">
      <c r="A726" s="2"/>
      <c r="B726" s="74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15">
      <c r="A727" s="2"/>
      <c r="B727" s="74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15">
      <c r="A728" s="2"/>
      <c r="B728" s="74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15">
      <c r="A729" s="2"/>
      <c r="B729" s="74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15">
      <c r="A730" s="2"/>
      <c r="B730" s="74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15">
      <c r="A731" s="2"/>
      <c r="B731" s="74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15">
      <c r="A732" s="2"/>
      <c r="B732" s="74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15">
      <c r="A733" s="2"/>
      <c r="B733" s="74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15">
      <c r="A734" s="2"/>
      <c r="B734" s="74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15">
      <c r="A735" s="2"/>
      <c r="B735" s="74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15">
      <c r="A736" s="2"/>
      <c r="B736" s="74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15">
      <c r="A737" s="2"/>
      <c r="B737" s="74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15">
      <c r="A738" s="2"/>
      <c r="B738" s="74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15">
      <c r="A739" s="2"/>
      <c r="B739" s="74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15">
      <c r="A740" s="2"/>
      <c r="B740" s="74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15">
      <c r="A741" s="2"/>
      <c r="B741" s="74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15">
      <c r="A742" s="2"/>
      <c r="B742" s="74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15">
      <c r="A743" s="2"/>
      <c r="B743" s="74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15">
      <c r="A744" s="2"/>
      <c r="B744" s="74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15">
      <c r="A745" s="2"/>
      <c r="B745" s="74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15">
      <c r="A746" s="2"/>
      <c r="B746" s="74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15">
      <c r="A747" s="2"/>
      <c r="B747" s="74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15">
      <c r="A748" s="2"/>
      <c r="B748" s="74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15">
      <c r="A749" s="2"/>
      <c r="B749" s="74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15">
      <c r="A750" s="2"/>
      <c r="B750" s="74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15">
      <c r="A751" s="2"/>
      <c r="B751" s="74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15">
      <c r="A752" s="2"/>
      <c r="B752" s="74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15">
      <c r="A753" s="2"/>
      <c r="B753" s="74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15">
      <c r="A754" s="2"/>
      <c r="B754" s="74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15">
      <c r="A755" s="2"/>
      <c r="B755" s="74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15">
      <c r="A756" s="2"/>
      <c r="B756" s="74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15">
      <c r="A757" s="2"/>
      <c r="B757" s="74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15">
      <c r="A758" s="2"/>
      <c r="B758" s="74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15">
      <c r="A759" s="2"/>
      <c r="B759" s="74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15">
      <c r="A760" s="2"/>
      <c r="B760" s="74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15">
      <c r="A761" s="2"/>
      <c r="B761" s="74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15">
      <c r="A762" s="2"/>
      <c r="B762" s="74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15">
      <c r="A763" s="2"/>
      <c r="B763" s="74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15">
      <c r="A764" s="2"/>
      <c r="B764" s="74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15">
      <c r="A765" s="2"/>
      <c r="B765" s="74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15">
      <c r="A766" s="2"/>
      <c r="B766" s="74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15">
      <c r="A767" s="2"/>
      <c r="B767" s="74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15">
      <c r="A768" s="2"/>
      <c r="B768" s="74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15">
      <c r="A769" s="2"/>
      <c r="B769" s="74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15">
      <c r="A770" s="2"/>
      <c r="B770" s="74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15">
      <c r="A771" s="2"/>
      <c r="B771" s="74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15">
      <c r="A772" s="2"/>
      <c r="B772" s="74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15">
      <c r="A773" s="2"/>
      <c r="B773" s="74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15">
      <c r="A774" s="2"/>
      <c r="B774" s="74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15">
      <c r="A775" s="2"/>
      <c r="B775" s="74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15">
      <c r="A776" s="2"/>
      <c r="B776" s="74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15">
      <c r="A777" s="2"/>
      <c r="B777" s="74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15">
      <c r="A778" s="2"/>
      <c r="B778" s="74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15">
      <c r="A779" s="2"/>
      <c r="B779" s="74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15">
      <c r="A780" s="2"/>
      <c r="B780" s="74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15">
      <c r="A781" s="2"/>
      <c r="B781" s="74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15">
      <c r="A782" s="2"/>
      <c r="B782" s="74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15">
      <c r="A783" s="2"/>
      <c r="B783" s="74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15">
      <c r="A784" s="2"/>
      <c r="B784" s="74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15">
      <c r="A785" s="2"/>
      <c r="B785" s="74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15">
      <c r="A786" s="2"/>
      <c r="B786" s="74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15">
      <c r="A787" s="2"/>
      <c r="B787" s="74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15">
      <c r="A788" s="2"/>
      <c r="B788" s="74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15">
      <c r="A789" s="2"/>
      <c r="B789" s="74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15">
      <c r="A790" s="2"/>
      <c r="B790" s="74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15">
      <c r="A791" s="2"/>
      <c r="B791" s="74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15">
      <c r="A792" s="2"/>
      <c r="B792" s="74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15">
      <c r="A793" s="2"/>
      <c r="B793" s="74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15">
      <c r="A794" s="2"/>
      <c r="B794" s="74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15">
      <c r="A795" s="2"/>
      <c r="B795" s="74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15">
      <c r="A796" s="2"/>
      <c r="B796" s="74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15">
      <c r="A797" s="2"/>
      <c r="B797" s="74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15">
      <c r="A798" s="2"/>
      <c r="B798" s="74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15">
      <c r="A799" s="2"/>
      <c r="B799" s="74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15">
      <c r="A800" s="2"/>
      <c r="B800" s="74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15">
      <c r="A801" s="2"/>
      <c r="B801" s="74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15">
      <c r="A802" s="2"/>
      <c r="B802" s="74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15">
      <c r="A803" s="2"/>
      <c r="B803" s="74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15">
      <c r="A804" s="2"/>
      <c r="B804" s="74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15">
      <c r="A805" s="2"/>
      <c r="B805" s="74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15">
      <c r="A806" s="2"/>
      <c r="B806" s="74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15">
      <c r="A807" s="2"/>
      <c r="B807" s="74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15">
      <c r="A808" s="2"/>
      <c r="B808" s="74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15">
      <c r="A809" s="2"/>
      <c r="B809" s="74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15">
      <c r="A810" s="2"/>
      <c r="B810" s="74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15">
      <c r="A811" s="2"/>
      <c r="B811" s="74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15">
      <c r="A812" s="2"/>
      <c r="B812" s="74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15">
      <c r="A813" s="2"/>
      <c r="B813" s="74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15">
      <c r="A814" s="2"/>
      <c r="B814" s="74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15">
      <c r="A815" s="2"/>
      <c r="B815" s="74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15">
      <c r="A816" s="2"/>
      <c r="B816" s="74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15">
      <c r="A817" s="2"/>
      <c r="B817" s="74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15">
      <c r="A818" s="2"/>
      <c r="B818" s="74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15">
      <c r="A819" s="2"/>
      <c r="B819" s="74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15">
      <c r="A820" s="2"/>
      <c r="B820" s="74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15">
      <c r="A821" s="2"/>
      <c r="B821" s="74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15">
      <c r="A822" s="2"/>
      <c r="B822" s="74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15">
      <c r="A823" s="2"/>
      <c r="B823" s="74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15">
      <c r="A824" s="2"/>
      <c r="B824" s="74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15">
      <c r="A825" s="2"/>
      <c r="B825" s="74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15">
      <c r="A826" s="2"/>
      <c r="B826" s="74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15">
      <c r="A827" s="2"/>
      <c r="B827" s="74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15">
      <c r="A828" s="2"/>
      <c r="B828" s="74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15">
      <c r="A829" s="2"/>
      <c r="B829" s="74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15">
      <c r="A830" s="2"/>
      <c r="B830" s="74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15">
      <c r="A831" s="2"/>
      <c r="B831" s="74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15">
      <c r="A832" s="2"/>
      <c r="B832" s="74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15">
      <c r="A833" s="2"/>
      <c r="B833" s="74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15">
      <c r="A834" s="2"/>
      <c r="B834" s="74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15">
      <c r="A835" s="2"/>
      <c r="B835" s="74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15">
      <c r="A836" s="2"/>
      <c r="B836" s="74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15">
      <c r="A837" s="2"/>
      <c r="B837" s="74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15">
      <c r="A838" s="2"/>
      <c r="B838" s="74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15">
      <c r="A839" s="2"/>
      <c r="B839" s="74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15">
      <c r="A840" s="2"/>
      <c r="B840" s="74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15">
      <c r="A841" s="2"/>
      <c r="B841" s="74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15">
      <c r="A842" s="2"/>
      <c r="B842" s="74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15">
      <c r="A843" s="2"/>
      <c r="B843" s="74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15">
      <c r="A844" s="2"/>
      <c r="B844" s="74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15">
      <c r="A845" s="2"/>
      <c r="B845" s="74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15">
      <c r="A846" s="2"/>
      <c r="B846" s="74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15">
      <c r="A847" s="2"/>
      <c r="B847" s="74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15">
      <c r="A848" s="2"/>
      <c r="B848" s="74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15">
      <c r="A849" s="2"/>
      <c r="B849" s="74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15">
      <c r="A850" s="2"/>
      <c r="B850" s="74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15">
      <c r="A851" s="2"/>
      <c r="B851" s="74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15">
      <c r="A852" s="2"/>
      <c r="B852" s="74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15">
      <c r="A853" s="2"/>
      <c r="B853" s="74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15">
      <c r="A854" s="2"/>
      <c r="B854" s="74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15">
      <c r="A855" s="2"/>
      <c r="B855" s="74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15">
      <c r="A856" s="2"/>
      <c r="B856" s="74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15">
      <c r="A857" s="2"/>
      <c r="B857" s="74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15">
      <c r="A858" s="2"/>
      <c r="B858" s="74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15">
      <c r="A859" s="2"/>
      <c r="B859" s="74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15">
      <c r="A860" s="2"/>
      <c r="B860" s="74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15">
      <c r="A861" s="2"/>
      <c r="B861" s="74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15">
      <c r="A862" s="2"/>
      <c r="B862" s="74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15">
      <c r="A863" s="2"/>
      <c r="B863" s="74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15">
      <c r="A864" s="2"/>
      <c r="B864" s="74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15">
      <c r="A865" s="2"/>
      <c r="B865" s="74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15">
      <c r="A866" s="2"/>
      <c r="B866" s="74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15">
      <c r="A867" s="2"/>
      <c r="B867" s="74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15">
      <c r="A868" s="2"/>
      <c r="B868" s="74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15">
      <c r="A869" s="2"/>
      <c r="B869" s="74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15">
      <c r="A870" s="2"/>
      <c r="B870" s="74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15">
      <c r="A871" s="2"/>
      <c r="B871" s="74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15">
      <c r="A872" s="2"/>
      <c r="B872" s="74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15">
      <c r="A873" s="2"/>
      <c r="B873" s="74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15">
      <c r="A874" s="2"/>
      <c r="B874" s="74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15">
      <c r="A875" s="2"/>
      <c r="B875" s="74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15">
      <c r="A876" s="2"/>
      <c r="B876" s="74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15">
      <c r="A877" s="2"/>
      <c r="B877" s="74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15">
      <c r="A878" s="2"/>
      <c r="B878" s="74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15">
      <c r="A879" s="2"/>
      <c r="B879" s="74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15">
      <c r="A880" s="2"/>
      <c r="B880" s="74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15">
      <c r="A881" s="2"/>
      <c r="B881" s="74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15">
      <c r="A882" s="2"/>
      <c r="B882" s="74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15">
      <c r="A883" s="2"/>
      <c r="B883" s="74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15">
      <c r="A884" s="2"/>
      <c r="B884" s="74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15">
      <c r="A885" s="2"/>
      <c r="B885" s="74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15">
      <c r="A886" s="2"/>
      <c r="B886" s="74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15">
      <c r="A887" s="2"/>
      <c r="B887" s="74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15">
      <c r="A888" s="2"/>
      <c r="B888" s="74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15">
      <c r="A889" s="2"/>
      <c r="B889" s="74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15">
      <c r="A890" s="2"/>
      <c r="B890" s="74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15">
      <c r="A891" s="2"/>
      <c r="B891" s="74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15">
      <c r="A892" s="2"/>
      <c r="B892" s="74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15">
      <c r="A893" s="2"/>
      <c r="B893" s="74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15">
      <c r="A894" s="2"/>
      <c r="B894" s="74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15">
      <c r="A895" s="2"/>
      <c r="B895" s="74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15">
      <c r="A896" s="2"/>
      <c r="B896" s="74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15">
      <c r="A897" s="2"/>
      <c r="B897" s="74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15">
      <c r="A898" s="2"/>
      <c r="B898" s="74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15">
      <c r="A899" s="2"/>
      <c r="B899" s="74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15">
      <c r="A900" s="2"/>
      <c r="B900" s="74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15">
      <c r="A901" s="2"/>
      <c r="B901" s="74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15">
      <c r="A902" s="2"/>
      <c r="B902" s="74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15">
      <c r="A903" s="2"/>
      <c r="B903" s="74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15">
      <c r="A904" s="2"/>
      <c r="B904" s="74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15">
      <c r="A905" s="2"/>
      <c r="B905" s="74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15">
      <c r="A906" s="2"/>
      <c r="B906" s="74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15">
      <c r="A907" s="2"/>
      <c r="B907" s="74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15">
      <c r="A908" s="2"/>
      <c r="B908" s="74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15">
      <c r="A909" s="2"/>
      <c r="B909" s="74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15">
      <c r="A910" s="2"/>
      <c r="B910" s="74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15">
      <c r="A911" s="2"/>
      <c r="B911" s="74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15">
      <c r="A912" s="2"/>
      <c r="B912" s="74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15">
      <c r="A913" s="2"/>
      <c r="B913" s="74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15">
      <c r="A914" s="2"/>
      <c r="B914" s="74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15">
      <c r="A915" s="2"/>
      <c r="B915" s="74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15">
      <c r="A916" s="2"/>
      <c r="B916" s="74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15">
      <c r="A917" s="2"/>
      <c r="B917" s="74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15">
      <c r="A918" s="2"/>
      <c r="B918" s="74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15">
      <c r="A919" s="2"/>
      <c r="B919" s="74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15">
      <c r="A920" s="2"/>
      <c r="B920" s="74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15">
      <c r="A921" s="2"/>
      <c r="B921" s="74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15">
      <c r="A922" s="2"/>
      <c r="B922" s="74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15">
      <c r="A923" s="2"/>
      <c r="B923" s="74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15">
      <c r="A924" s="2"/>
      <c r="B924" s="74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15">
      <c r="A925" s="2"/>
      <c r="B925" s="74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15">
      <c r="A926" s="2"/>
      <c r="B926" s="74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15">
      <c r="A927" s="2"/>
      <c r="B927" s="74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15">
      <c r="A928" s="2"/>
      <c r="B928" s="74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15">
      <c r="A929" s="2"/>
      <c r="B929" s="74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15">
      <c r="A930" s="2"/>
      <c r="B930" s="74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15">
      <c r="A931" s="2"/>
      <c r="B931" s="74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15">
      <c r="A932" s="2"/>
      <c r="B932" s="74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15">
      <c r="A933" s="2"/>
      <c r="B933" s="74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15">
      <c r="A934" s="2"/>
      <c r="B934" s="74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15">
      <c r="A935" s="2"/>
      <c r="B935" s="74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15">
      <c r="A936" s="2"/>
      <c r="B936" s="74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15">
      <c r="A937" s="2"/>
      <c r="B937" s="74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15">
      <c r="A938" s="2"/>
      <c r="B938" s="74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15">
      <c r="A939" s="2"/>
      <c r="B939" s="74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15">
      <c r="A940" s="2"/>
      <c r="B940" s="74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15">
      <c r="A941" s="2"/>
      <c r="B941" s="74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15">
      <c r="A942" s="2"/>
      <c r="B942" s="74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15">
      <c r="A943" s="2"/>
      <c r="B943" s="74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15">
      <c r="A944" s="2"/>
      <c r="B944" s="74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15">
      <c r="A945" s="2"/>
      <c r="B945" s="74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15">
      <c r="A946" s="2"/>
      <c r="B946" s="74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15">
      <c r="A947" s="2"/>
      <c r="B947" s="74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15">
      <c r="A948" s="2"/>
      <c r="B948" s="74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15">
      <c r="A949" s="2"/>
      <c r="B949" s="74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15">
      <c r="A950" s="2"/>
      <c r="B950" s="74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15">
      <c r="A951" s="2"/>
      <c r="B951" s="74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15">
      <c r="A952" s="2"/>
      <c r="B952" s="74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15">
      <c r="A953" s="2"/>
      <c r="B953" s="74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15">
      <c r="A954" s="2"/>
      <c r="B954" s="74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15">
      <c r="A955" s="2"/>
      <c r="B955" s="74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15">
      <c r="A956" s="2"/>
      <c r="B956" s="74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15">
      <c r="A957" s="2"/>
      <c r="B957" s="74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15">
      <c r="A958" s="2"/>
      <c r="B958" s="74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15">
      <c r="A959" s="2"/>
      <c r="B959" s="74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15">
      <c r="A960" s="2"/>
      <c r="B960" s="74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15">
      <c r="A961" s="2"/>
      <c r="B961" s="74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15">
      <c r="A962" s="2"/>
      <c r="B962" s="74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15">
      <c r="A963" s="2"/>
      <c r="B963" s="74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15">
      <c r="A964" s="2"/>
      <c r="B964" s="74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15">
      <c r="A965" s="2"/>
      <c r="B965" s="74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15">
      <c r="A966" s="2"/>
      <c r="B966" s="74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15">
      <c r="A967" s="2"/>
      <c r="B967" s="74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15">
      <c r="A968" s="2"/>
      <c r="B968" s="74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15">
      <c r="A969" s="2"/>
      <c r="B969" s="74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15">
      <c r="A970" s="2"/>
      <c r="B970" s="74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15">
      <c r="A971" s="2"/>
      <c r="B971" s="74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15">
      <c r="A972" s="2"/>
      <c r="B972" s="74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15">
      <c r="A973" s="2"/>
      <c r="B973" s="74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15">
      <c r="A974" s="2"/>
      <c r="B974" s="74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15">
      <c r="A975" s="2"/>
      <c r="B975" s="74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15">
      <c r="A976" s="2"/>
      <c r="B976" s="74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15">
      <c r="A977" s="2"/>
      <c r="B977" s="74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15">
      <c r="A978" s="2"/>
      <c r="B978" s="74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15">
      <c r="A979" s="2"/>
      <c r="B979" s="74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15">
      <c r="A980" s="2"/>
      <c r="B980" s="74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15">
      <c r="A981" s="2"/>
      <c r="B981" s="74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15">
      <c r="A982" s="2"/>
      <c r="B982" s="74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15">
      <c r="A983" s="2"/>
      <c r="B983" s="74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15">
      <c r="A984" s="2"/>
      <c r="B984" s="74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15">
      <c r="A985" s="2"/>
      <c r="B985" s="74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15">
      <c r="A986" s="2"/>
      <c r="B986" s="74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15">
      <c r="A987" s="2"/>
      <c r="B987" s="74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15">
      <c r="A988" s="2"/>
      <c r="B988" s="74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15">
      <c r="A989" s="2"/>
      <c r="B989" s="74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15">
      <c r="A990" s="2"/>
      <c r="B990" s="74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15">
      <c r="A991" s="2"/>
      <c r="B991" s="74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15">
      <c r="A992" s="2"/>
      <c r="B992" s="74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15">
      <c r="A993" s="2"/>
      <c r="B993" s="74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15">
      <c r="A994" s="2"/>
      <c r="B994" s="74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15">
      <c r="A995" s="2"/>
      <c r="B995" s="74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15">
      <c r="A996" s="2"/>
      <c r="B996" s="74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15">
      <c r="A997" s="2"/>
      <c r="B997" s="74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15">
      <c r="A998" s="2"/>
      <c r="B998" s="74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15">
      <c r="A999" s="2"/>
      <c r="B999" s="74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15">
      <c r="A1000" s="2"/>
      <c r="B1000" s="74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 x14ac:dyDescent="0.15">
      <c r="A1001" s="2"/>
      <c r="B1001" s="74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24">
    <mergeCell ref="A14:C15"/>
    <mergeCell ref="A12:C13"/>
    <mergeCell ref="D21:D22"/>
    <mergeCell ref="G21:G22"/>
    <mergeCell ref="F21:F22"/>
    <mergeCell ref="E21:E22"/>
    <mergeCell ref="A21:A29"/>
    <mergeCell ref="C21:C22"/>
    <mergeCell ref="D14:D15"/>
    <mergeCell ref="H21:H22"/>
    <mergeCell ref="I19:L19"/>
    <mergeCell ref="U19:V19"/>
    <mergeCell ref="M19:T19"/>
    <mergeCell ref="A18:T18"/>
    <mergeCell ref="B21:B22"/>
    <mergeCell ref="A19:H19"/>
    <mergeCell ref="A1:Q1"/>
    <mergeCell ref="A11:H11"/>
    <mergeCell ref="D12:H12"/>
    <mergeCell ref="A2:AA2"/>
    <mergeCell ref="A3:A6"/>
    <mergeCell ref="B3:B5"/>
    <mergeCell ref="C6:E6"/>
    <mergeCell ref="I12:L12"/>
  </mergeCells>
  <phoneticPr fontId="70" type="noConversion"/>
  <conditionalFormatting sqref="N2">
    <cfRule type="cellIs" dxfId="78" priority="1" operator="equal">
      <formula>"中"</formula>
    </cfRule>
  </conditionalFormatting>
  <conditionalFormatting sqref="N2">
    <cfRule type="cellIs" dxfId="77" priority="2" operator="equal">
      <formula>"低"</formula>
    </cfRule>
  </conditionalFormatting>
  <conditionalFormatting sqref="B2:B10 B20:B21 B12:B14 B16:B18 B23:B1001">
    <cfRule type="cellIs" dxfId="76" priority="3" operator="equal">
      <formula>"低"</formula>
    </cfRule>
  </conditionalFormatting>
  <conditionalFormatting sqref="B2:B10 B20:B21 B12:B14 B16:B18 B23:B1001">
    <cfRule type="cellIs" dxfId="75" priority="4" operator="equal">
      <formula>"中"</formula>
    </cfRule>
  </conditionalFormatting>
  <conditionalFormatting sqref="B2:B10 B20:B21 B12:B14 B16:B18 B23:B1001">
    <cfRule type="cellIs" dxfId="74" priority="5" operator="equal">
      <formula>"高"</formula>
    </cfRule>
  </conditionalFormatting>
  <conditionalFormatting sqref="I21 I22:L22">
    <cfRule type="cellIs" dxfId="73" priority="6" operator="equal">
      <formula>"验证通过"</formula>
    </cfRule>
  </conditionalFormatting>
  <conditionalFormatting sqref="I21 I22:L22">
    <cfRule type="cellIs" dxfId="72" priority="7" operator="equal">
      <formula>"验证未通过"</formula>
    </cfRule>
  </conditionalFormatting>
  <conditionalFormatting sqref="I21 I22:L22">
    <cfRule type="cellIs" dxfId="71" priority="8" operator="equal">
      <formula>"未验证"</formula>
    </cfRule>
  </conditionalFormatting>
  <conditionalFormatting sqref="I24:L36">
    <cfRule type="cellIs" dxfId="70" priority="9" operator="equal">
      <formula>"验证通过"</formula>
    </cfRule>
  </conditionalFormatting>
  <conditionalFormatting sqref="I24:L36">
    <cfRule type="cellIs" dxfId="69" priority="10" operator="equal">
      <formula>"验证未通过"</formula>
    </cfRule>
  </conditionalFormatting>
  <conditionalFormatting sqref="I24:L36">
    <cfRule type="cellIs" dxfId="68" priority="11" operator="equal">
      <formula>"未验证"</formula>
    </cfRule>
  </conditionalFormatting>
  <conditionalFormatting sqref="I37:L40">
    <cfRule type="cellIs" dxfId="67" priority="12" operator="equal">
      <formula>"验证通过"</formula>
    </cfRule>
  </conditionalFormatting>
  <conditionalFormatting sqref="I37:L40">
    <cfRule type="cellIs" dxfId="66" priority="13" operator="equal">
      <formula>"验证未通过"</formula>
    </cfRule>
  </conditionalFormatting>
  <conditionalFormatting sqref="I37:L40">
    <cfRule type="cellIs" dxfId="65" priority="14" operator="equal">
      <formula>"未验证"</formula>
    </cfRule>
  </conditionalFormatting>
  <conditionalFormatting sqref="I41:L44">
    <cfRule type="cellIs" dxfId="64" priority="15" operator="equal">
      <formula>"验证通过"</formula>
    </cfRule>
  </conditionalFormatting>
  <conditionalFormatting sqref="I41:L44">
    <cfRule type="cellIs" dxfId="63" priority="16" operator="equal">
      <formula>"验证未通过"</formula>
    </cfRule>
  </conditionalFormatting>
  <conditionalFormatting sqref="I41:L44">
    <cfRule type="cellIs" dxfId="62" priority="17" operator="equal">
      <formula>"未验证"</formula>
    </cfRule>
  </conditionalFormatting>
  <conditionalFormatting sqref="I14">
    <cfRule type="cellIs" dxfId="61" priority="18" operator="equal">
      <formula>"验证通过"</formula>
    </cfRule>
  </conditionalFormatting>
  <conditionalFormatting sqref="I14">
    <cfRule type="cellIs" dxfId="60" priority="19" operator="equal">
      <formula>"验证未通过"</formula>
    </cfRule>
  </conditionalFormatting>
  <conditionalFormatting sqref="I14">
    <cfRule type="cellIs" dxfId="59" priority="20" operator="equal">
      <formula>"未验证"</formula>
    </cfRule>
  </conditionalFormatting>
  <dataValidations count="3">
    <dataValidation type="list" allowBlank="1" sqref="I14 I21:I44">
      <formula1>"未验证,验证通过,验证未通过"</formula1>
    </dataValidation>
    <dataValidation type="list" allowBlank="1" showErrorMessage="1" sqref="B21 B23:B162">
      <formula1>"高,中,低"</formula1>
    </dataValidation>
    <dataValidation type="list" allowBlank="1" showErrorMessage="1" sqref="G21 G23:G43">
      <formula1>"最近,最终"</formula1>
    </dataValidation>
  </dataValidations>
  <hyperlinks>
    <hyperlink ref="E15" r:id="rId1" location="13-she-zhi-deng-lu-yong-hu-idsetuserid"/>
    <hyperlink ref="F15" r:id="rId2" location="setuserid"/>
    <hyperlink ref="G15" r:id="rId3" location="setuserid"/>
    <hyperlink ref="H15" r:id="rId4" location="she-zhi-crm-yong-hu-id"/>
    <hyperlink ref="M22" r:id="rId5" location="15-she-zhi-deng-lu-yong-hu-ji-bian-liang-peopleset"/>
    <hyperlink ref="O22" r:id="rId6" location="setpeoplevariable"/>
    <hyperlink ref="Q22" r:id="rId7" location="setpeoplevariable"/>
    <hyperlink ref="S22" r:id="rId8" location="zhu-ce-yong-hu-bian-liang"/>
    <hyperlink ref="U22" r:id="rId9" location="zhu-ce-yong-hu-bian-liang"/>
  </hyperlinks>
  <pageMargins left="0.5" right="0.5" top="0.75" bottom="0.75" header="0" footer="0"/>
  <pageSetup orientation="portrait"/>
  <headerFooter>
    <oddFooter>&amp;C000000&amp;P</oddFooter>
  </headerFooter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A1002"/>
  <sheetViews>
    <sheetView showGridLines="0" tabSelected="1" topLeftCell="A11" workbookViewId="0">
      <selection activeCell="I27" sqref="I27"/>
    </sheetView>
  </sheetViews>
  <sheetFormatPr baseColWidth="10" defaultColWidth="14.5" defaultRowHeight="15" customHeight="1" x14ac:dyDescent="0.15"/>
  <cols>
    <col min="1" max="1" width="28.83203125" customWidth="1"/>
    <col min="2" max="2" width="13.33203125" customWidth="1"/>
    <col min="3" max="3" width="7.6640625" customWidth="1"/>
    <col min="4" max="4" width="6.6640625" hidden="1" customWidth="1"/>
    <col min="5" max="5" width="22" customWidth="1"/>
    <col min="6" max="6" width="13.5" customWidth="1"/>
    <col min="7" max="7" width="23.1640625" customWidth="1"/>
    <col min="8" max="9" width="11.33203125" customWidth="1"/>
    <col min="10" max="10" width="30.33203125" customWidth="1"/>
    <col min="11" max="12" width="12.5" customWidth="1"/>
    <col min="13" max="13" width="16.6640625" customWidth="1"/>
    <col min="14" max="14" width="14.1640625" customWidth="1"/>
    <col min="15" max="15" width="14.5" customWidth="1"/>
    <col min="16" max="16" width="21" customWidth="1"/>
    <col min="17" max="17" width="21.83203125" customWidth="1"/>
    <col min="18" max="18" width="39.5" customWidth="1"/>
    <col min="19" max="19" width="26.1640625" customWidth="1"/>
    <col min="20" max="20" width="40" customWidth="1"/>
    <col min="21" max="21" width="26" customWidth="1"/>
    <col min="22" max="23" width="19" customWidth="1"/>
    <col min="24" max="24" width="18.6640625" hidden="1" customWidth="1"/>
    <col min="25" max="25" width="26.1640625" hidden="1" customWidth="1"/>
    <col min="26" max="27" width="16.33203125" customWidth="1"/>
  </cols>
  <sheetData>
    <row r="1" spans="1:27" s="212" customFormat="1" ht="34" customHeight="1" x14ac:dyDescent="0.15">
      <c r="A1" s="228"/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</row>
    <row r="2" spans="1:27" ht="30.75" customHeight="1" x14ac:dyDescent="0.15">
      <c r="A2" s="274" t="s">
        <v>241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6"/>
    </row>
    <row r="3" spans="1:27" ht="16" x14ac:dyDescent="0.15">
      <c r="A3" s="275" t="s">
        <v>242</v>
      </c>
      <c r="B3" s="278" t="s">
        <v>5</v>
      </c>
      <c r="C3" s="133" t="s">
        <v>6</v>
      </c>
      <c r="D3" s="8"/>
      <c r="E3" s="8"/>
      <c r="F3" s="8"/>
      <c r="G3" s="134"/>
      <c r="H3" s="106"/>
      <c r="I3" s="106"/>
      <c r="J3" s="13"/>
      <c r="K3" s="15"/>
      <c r="L3" s="15"/>
      <c r="M3" s="15"/>
      <c r="N3" s="15"/>
      <c r="O3" s="15"/>
      <c r="P3" s="26"/>
      <c r="Q3" s="26"/>
      <c r="R3" s="26"/>
      <c r="S3" s="26"/>
      <c r="T3" s="26"/>
      <c r="U3" s="26"/>
      <c r="V3" s="2"/>
      <c r="W3" s="2"/>
      <c r="X3" s="2"/>
      <c r="Y3" s="2"/>
      <c r="Z3" s="2"/>
      <c r="AA3" s="2"/>
    </row>
    <row r="4" spans="1:27" ht="16" x14ac:dyDescent="0.15">
      <c r="A4" s="276"/>
      <c r="B4" s="276"/>
      <c r="C4" s="133" t="s">
        <v>243</v>
      </c>
      <c r="D4" s="8"/>
      <c r="E4" s="23"/>
      <c r="F4" s="135"/>
      <c r="G4" s="134"/>
      <c r="H4" s="106"/>
      <c r="I4" s="106"/>
      <c r="J4" s="13"/>
      <c r="K4" s="15"/>
      <c r="L4" s="15"/>
      <c r="M4" s="15"/>
      <c r="N4" s="15"/>
      <c r="O4" s="15"/>
      <c r="P4" s="26"/>
      <c r="Q4" s="26"/>
      <c r="R4" s="26"/>
      <c r="S4" s="26"/>
      <c r="T4" s="26"/>
      <c r="U4" s="26"/>
      <c r="V4" s="2"/>
      <c r="W4" s="2"/>
      <c r="X4" s="2"/>
      <c r="Y4" s="2"/>
      <c r="Z4" s="2"/>
      <c r="AA4" s="2"/>
    </row>
    <row r="5" spans="1:27" ht="16" x14ac:dyDescent="0.15">
      <c r="A5" s="276"/>
      <c r="B5" s="277"/>
      <c r="C5" s="136" t="s">
        <v>244</v>
      </c>
      <c r="D5" s="8"/>
      <c r="E5" s="23"/>
      <c r="F5" s="135"/>
      <c r="G5" s="134"/>
      <c r="H5" s="106"/>
      <c r="I5" s="106"/>
      <c r="J5" s="13"/>
      <c r="K5" s="15"/>
      <c r="L5" s="15"/>
      <c r="M5" s="15"/>
      <c r="N5" s="15"/>
      <c r="O5" s="15"/>
      <c r="P5" s="26"/>
      <c r="Q5" s="26"/>
      <c r="R5" s="26"/>
      <c r="S5" s="26"/>
      <c r="T5" s="26"/>
      <c r="U5" s="26"/>
      <c r="V5" s="2"/>
      <c r="W5" s="2"/>
      <c r="X5" s="2"/>
      <c r="Y5" s="2"/>
      <c r="Z5" s="2"/>
      <c r="AA5" s="2"/>
    </row>
    <row r="6" spans="1:27" ht="21" x14ac:dyDescent="0.15">
      <c r="A6" s="277"/>
      <c r="B6" s="32" t="s">
        <v>16</v>
      </c>
      <c r="C6" s="8" t="s">
        <v>245</v>
      </c>
      <c r="D6" s="8"/>
      <c r="E6" s="25"/>
      <c r="F6" s="27"/>
      <c r="G6" s="134"/>
      <c r="H6" s="106"/>
      <c r="I6" s="106"/>
      <c r="J6" s="13"/>
      <c r="K6" s="15"/>
      <c r="L6" s="15"/>
      <c r="M6" s="15"/>
      <c r="N6" s="15"/>
      <c r="O6" s="15"/>
      <c r="P6" s="26"/>
      <c r="Q6" s="26"/>
      <c r="R6" s="26"/>
      <c r="S6" s="26"/>
      <c r="T6" s="26"/>
      <c r="U6" s="26"/>
      <c r="V6" s="2"/>
      <c r="W6" s="2"/>
      <c r="X6" s="2"/>
      <c r="Y6" s="2"/>
      <c r="Z6" s="2"/>
      <c r="AA6" s="2"/>
    </row>
    <row r="7" spans="1:27" ht="22.5" customHeight="1" x14ac:dyDescent="0.15">
      <c r="A7" s="27"/>
      <c r="B7" s="137"/>
      <c r="C7" s="12"/>
      <c r="D7" s="12"/>
      <c r="E7" s="138"/>
      <c r="F7" s="27"/>
      <c r="G7" s="134"/>
      <c r="H7" s="106"/>
      <c r="I7" s="106"/>
      <c r="J7" s="13"/>
      <c r="K7" s="15"/>
      <c r="L7" s="15"/>
      <c r="M7" s="15"/>
      <c r="N7" s="15"/>
      <c r="O7" s="15"/>
      <c r="P7" s="26"/>
      <c r="Q7" s="26"/>
      <c r="R7" s="26"/>
      <c r="S7" s="26"/>
      <c r="T7" s="26"/>
      <c r="U7" s="26"/>
      <c r="V7" s="2"/>
      <c r="W7" s="2"/>
      <c r="X7" s="2"/>
      <c r="Y7" s="2"/>
      <c r="Z7" s="2"/>
      <c r="AA7" s="2"/>
    </row>
    <row r="8" spans="1:27" ht="22.5" customHeight="1" x14ac:dyDescent="0.15">
      <c r="A8" s="27"/>
      <c r="B8" s="137"/>
      <c r="C8" s="12"/>
      <c r="D8" s="12"/>
      <c r="E8" s="138"/>
      <c r="F8" s="27"/>
      <c r="G8" s="134"/>
      <c r="H8" s="106"/>
      <c r="I8" s="106"/>
      <c r="J8" s="13"/>
      <c r="K8" s="15"/>
      <c r="L8" s="15"/>
      <c r="M8" s="15"/>
      <c r="N8" s="15"/>
      <c r="O8" s="15"/>
      <c r="P8" s="26"/>
      <c r="Q8" s="26"/>
      <c r="R8" s="26"/>
      <c r="S8" s="26"/>
      <c r="T8" s="26"/>
      <c r="U8" s="26"/>
      <c r="V8" s="2"/>
      <c r="W8" s="2"/>
      <c r="X8" s="2"/>
      <c r="Y8" s="2"/>
      <c r="Z8" s="2"/>
      <c r="AA8" s="2"/>
    </row>
    <row r="9" spans="1:27" ht="22.5" customHeight="1" x14ac:dyDescent="0.15">
      <c r="A9" s="27"/>
      <c r="B9" s="137"/>
      <c r="C9" s="12"/>
      <c r="D9" s="12"/>
      <c r="E9" s="138"/>
      <c r="F9" s="27"/>
      <c r="G9" s="134"/>
      <c r="H9" s="106"/>
      <c r="I9" s="106"/>
      <c r="J9" s="13"/>
      <c r="K9" s="15"/>
      <c r="L9" s="15"/>
      <c r="M9" s="15"/>
      <c r="N9" s="15"/>
      <c r="O9" s="15"/>
      <c r="P9" s="26"/>
      <c r="Q9" s="26"/>
      <c r="R9" s="26"/>
      <c r="S9" s="26"/>
      <c r="T9" s="26"/>
      <c r="U9" s="26"/>
      <c r="V9" s="2"/>
      <c r="W9" s="2"/>
      <c r="X9" s="2"/>
      <c r="Y9" s="2"/>
      <c r="Z9" s="2"/>
      <c r="AA9" s="2"/>
    </row>
    <row r="10" spans="1:27" ht="22.5" customHeight="1" x14ac:dyDescent="0.15">
      <c r="A10" s="27"/>
      <c r="B10" s="137"/>
      <c r="C10" s="12"/>
      <c r="D10" s="12"/>
      <c r="E10" s="138"/>
      <c r="F10" s="27"/>
      <c r="G10" s="134"/>
      <c r="H10" s="106"/>
      <c r="I10" s="106"/>
      <c r="J10" s="13"/>
      <c r="K10" s="15"/>
      <c r="L10" s="15"/>
      <c r="M10" s="15"/>
      <c r="N10" s="15"/>
      <c r="O10" s="15"/>
      <c r="P10" s="26"/>
      <c r="Q10" s="26"/>
      <c r="R10" s="26"/>
      <c r="S10" s="26"/>
      <c r="T10" s="26"/>
      <c r="U10" s="26"/>
      <c r="V10" s="2"/>
      <c r="W10" s="2"/>
      <c r="X10" s="2"/>
      <c r="Y10" s="2"/>
      <c r="Z10" s="2"/>
      <c r="AA10" s="2"/>
    </row>
    <row r="11" spans="1:27" ht="22.5" customHeight="1" x14ac:dyDescent="0.15">
      <c r="A11" s="27"/>
      <c r="B11" s="137"/>
      <c r="C11" s="12"/>
      <c r="D11" s="12"/>
      <c r="E11" s="138"/>
      <c r="F11" s="27"/>
      <c r="G11" s="134"/>
      <c r="H11" s="106"/>
      <c r="I11" s="106"/>
      <c r="J11" s="13"/>
      <c r="K11" s="15"/>
      <c r="L11" s="15"/>
      <c r="M11" s="15"/>
      <c r="N11" s="15"/>
      <c r="O11" s="15"/>
      <c r="P11" s="26"/>
      <c r="Q11" s="26"/>
      <c r="R11" s="26"/>
      <c r="S11" s="26"/>
      <c r="T11" s="26"/>
      <c r="U11" s="26"/>
      <c r="V11" s="2"/>
      <c r="W11" s="2"/>
      <c r="X11" s="2"/>
      <c r="Y11" s="2"/>
      <c r="Z11" s="2"/>
      <c r="AA11" s="2"/>
    </row>
    <row r="12" spans="1:27" ht="22.5" customHeight="1" x14ac:dyDescent="0.15">
      <c r="A12" s="27"/>
      <c r="B12" s="137"/>
      <c r="C12" s="12"/>
      <c r="D12" s="12"/>
      <c r="E12" s="138"/>
      <c r="F12" s="27"/>
      <c r="G12" s="134"/>
      <c r="H12" s="106"/>
      <c r="I12" s="106"/>
      <c r="J12" s="13"/>
      <c r="K12" s="15"/>
      <c r="L12" s="15"/>
      <c r="M12" s="15"/>
      <c r="N12" s="15"/>
      <c r="O12" s="15"/>
      <c r="P12" s="26"/>
      <c r="Q12" s="26"/>
      <c r="R12" s="26"/>
      <c r="S12" s="26"/>
      <c r="T12" s="26"/>
      <c r="U12" s="26"/>
      <c r="V12" s="2"/>
      <c r="W12" s="2"/>
      <c r="X12" s="2"/>
      <c r="Y12" s="2"/>
      <c r="Z12" s="2"/>
      <c r="AA12" s="2"/>
    </row>
    <row r="13" spans="1:27" ht="22.5" customHeight="1" x14ac:dyDescent="0.15">
      <c r="A13" s="27"/>
      <c r="B13" s="137"/>
      <c r="C13" s="12"/>
      <c r="D13" s="12"/>
      <c r="E13" s="138"/>
      <c r="F13" s="27"/>
      <c r="G13" s="134"/>
      <c r="H13" s="106"/>
      <c r="I13" s="106"/>
      <c r="J13" s="13"/>
      <c r="K13" s="15"/>
      <c r="L13" s="15"/>
      <c r="M13" s="15"/>
      <c r="N13" s="15"/>
      <c r="O13" s="15"/>
      <c r="P13" s="26"/>
      <c r="Q13" s="26"/>
      <c r="R13" s="26"/>
      <c r="S13" s="26"/>
      <c r="T13" s="26"/>
      <c r="U13" s="26"/>
      <c r="V13" s="2"/>
      <c r="W13" s="2"/>
      <c r="X13" s="2"/>
      <c r="Y13" s="2"/>
      <c r="Z13" s="2"/>
      <c r="AA13" s="2"/>
    </row>
    <row r="14" spans="1:27" ht="22.5" customHeight="1" x14ac:dyDescent="0.15">
      <c r="A14" s="27"/>
      <c r="B14" s="137"/>
      <c r="C14" s="12"/>
      <c r="D14" s="12"/>
      <c r="E14" s="138"/>
      <c r="F14" s="27"/>
      <c r="G14" s="134"/>
      <c r="H14" s="106"/>
      <c r="I14" s="106"/>
      <c r="J14" s="13"/>
      <c r="K14" s="15"/>
      <c r="L14" s="15"/>
      <c r="M14" s="15"/>
      <c r="N14" s="15"/>
      <c r="O14" s="15"/>
      <c r="P14" s="26"/>
      <c r="Q14" s="26"/>
      <c r="R14" s="26"/>
      <c r="S14" s="26"/>
      <c r="T14" s="26"/>
      <c r="U14" s="26"/>
      <c r="V14" s="2"/>
      <c r="W14" s="2"/>
      <c r="X14" s="2"/>
      <c r="Y14" s="2"/>
      <c r="Z14" s="2"/>
      <c r="AA14" s="2"/>
    </row>
    <row r="15" spans="1:27" ht="22.5" customHeight="1" x14ac:dyDescent="0.15">
      <c r="A15" s="106"/>
      <c r="B15" s="139"/>
      <c r="C15" s="140"/>
      <c r="D15" s="106"/>
      <c r="E15" s="134"/>
      <c r="F15" s="134"/>
      <c r="G15" s="106"/>
      <c r="H15" s="106"/>
      <c r="I15" s="106"/>
      <c r="J15" s="106"/>
      <c r="K15" s="13"/>
      <c r="L15" s="13"/>
      <c r="M15" s="13"/>
      <c r="N15" s="13"/>
      <c r="O15" s="13"/>
      <c r="P15" s="15"/>
      <c r="Q15" s="15"/>
      <c r="R15" s="15"/>
      <c r="S15" s="15"/>
      <c r="T15" s="26"/>
      <c r="U15" s="26"/>
      <c r="V15" s="26"/>
      <c r="W15" s="2"/>
      <c r="X15" s="2"/>
      <c r="Y15" s="2"/>
      <c r="Z15" s="2"/>
      <c r="AA15" s="2"/>
    </row>
    <row r="16" spans="1:27" ht="22.5" customHeight="1" x14ac:dyDescent="0.15">
      <c r="A16" s="301" t="s">
        <v>96</v>
      </c>
      <c r="B16" s="261"/>
      <c r="C16" s="261"/>
      <c r="D16" s="261"/>
      <c r="E16" s="261"/>
      <c r="F16" s="261"/>
      <c r="G16" s="261"/>
      <c r="H16" s="261"/>
      <c r="I16" s="261"/>
      <c r="J16" s="261"/>
      <c r="K16" s="302"/>
      <c r="L16" s="304" t="s">
        <v>32</v>
      </c>
      <c r="M16" s="261"/>
      <c r="N16" s="261"/>
      <c r="O16" s="262"/>
      <c r="P16" s="303" t="s">
        <v>246</v>
      </c>
      <c r="Q16" s="252"/>
      <c r="R16" s="252"/>
      <c r="S16" s="252"/>
      <c r="T16" s="252"/>
      <c r="U16" s="252"/>
      <c r="V16" s="252"/>
      <c r="W16" s="253"/>
      <c r="X16" s="282" t="s">
        <v>98</v>
      </c>
      <c r="Y16" s="236"/>
      <c r="Z16" s="2"/>
      <c r="AA16" s="2"/>
    </row>
    <row r="17" spans="1:27" ht="45" customHeight="1" x14ac:dyDescent="0.15">
      <c r="A17" s="141" t="s">
        <v>247</v>
      </c>
      <c r="B17" s="142" t="s">
        <v>100</v>
      </c>
      <c r="C17" s="143" t="s">
        <v>52</v>
      </c>
      <c r="D17" s="144" t="s">
        <v>248</v>
      </c>
      <c r="E17" s="141" t="s">
        <v>249</v>
      </c>
      <c r="F17" s="141" t="s">
        <v>250</v>
      </c>
      <c r="G17" s="141" t="s">
        <v>251</v>
      </c>
      <c r="H17" s="142" t="s">
        <v>104</v>
      </c>
      <c r="I17" s="141" t="s">
        <v>252</v>
      </c>
      <c r="J17" s="141" t="s">
        <v>253</v>
      </c>
      <c r="K17" s="145" t="s">
        <v>254</v>
      </c>
      <c r="L17" s="47" t="s">
        <v>42</v>
      </c>
      <c r="M17" s="47" t="s">
        <v>46</v>
      </c>
      <c r="N17" s="47" t="s">
        <v>47</v>
      </c>
      <c r="O17" s="47" t="s">
        <v>48</v>
      </c>
      <c r="P17" s="60" t="s">
        <v>69</v>
      </c>
      <c r="Q17" s="80" t="s">
        <v>255</v>
      </c>
      <c r="R17" s="80" t="s">
        <v>256</v>
      </c>
      <c r="S17" s="44" t="s">
        <v>257</v>
      </c>
      <c r="T17" s="44" t="s">
        <v>258</v>
      </c>
      <c r="U17" s="44" t="s">
        <v>259</v>
      </c>
      <c r="V17" s="44" t="s">
        <v>260</v>
      </c>
      <c r="W17" s="44" t="s">
        <v>261</v>
      </c>
      <c r="X17" s="82" t="s">
        <v>114</v>
      </c>
      <c r="Y17" s="82" t="s">
        <v>113</v>
      </c>
      <c r="Z17" s="82"/>
      <c r="AA17" s="82"/>
    </row>
    <row r="18" spans="1:27" ht="192" x14ac:dyDescent="0.15">
      <c r="A18" s="146" t="s">
        <v>262</v>
      </c>
      <c r="B18" s="147" t="s">
        <v>115</v>
      </c>
      <c r="C18" s="148">
        <v>1</v>
      </c>
      <c r="D18" s="149"/>
      <c r="E18" s="149" t="s">
        <v>263</v>
      </c>
      <c r="F18" s="149" t="s">
        <v>264</v>
      </c>
      <c r="G18" s="150" t="s">
        <v>265</v>
      </c>
      <c r="H18" s="150" t="s">
        <v>266</v>
      </c>
      <c r="I18" s="150" t="s">
        <v>267</v>
      </c>
      <c r="J18" s="151" t="s">
        <v>268</v>
      </c>
      <c r="K18" s="152" t="s">
        <v>269</v>
      </c>
      <c r="L18" s="62" t="s">
        <v>93</v>
      </c>
      <c r="M18" s="83"/>
      <c r="N18" s="83"/>
      <c r="O18" s="83"/>
      <c r="P18" s="153" t="s">
        <v>270</v>
      </c>
      <c r="Q18" s="154" t="str">
        <f>"gio('evar.set','"&amp;E18&amp;"', 'VALUE');"</f>
        <v>gio('evar.set','sourceRecent_evar', 'VALUE');</v>
      </c>
      <c r="R18" s="155" t="s">
        <v>271</v>
      </c>
      <c r="S18" s="154" t="str">
        <f>CONCATENATE("[Growing setEvarWithKey:"&amp;X18)</f>
        <v>[Growing setEvarWithKey:@"sourceRecent_evar" andStringValue: @"VALUE"];</v>
      </c>
      <c r="T18" s="154" t="s">
        <v>272</v>
      </c>
      <c r="U18" s="154" t="str">
        <f>CONCATENATE("GrowingIO gio = GrowingIO.getInstance();
gio.setEvar"&amp;Y18)</f>
        <v>GrowingIO gio = GrowingIO.getInstance();
gio.setEvar("sourceRecent_evar","VALUE");</v>
      </c>
      <c r="V18" s="156" t="s">
        <v>273</v>
      </c>
      <c r="W18" s="154" t="str">
        <f>"gio('setEvar','"&amp;E18&amp;"', 'VALUE');"</f>
        <v>gio('setEvar','sourceRecent_evar', 'VALUE');</v>
      </c>
      <c r="X18" s="157" t="str">
        <f>CONCATENATE("@"""&amp;E18&amp;""" andStringValue: @""VALUE""];")</f>
        <v>@"sourceRecent_evar" andStringValue: @"VALUE"];</v>
      </c>
      <c r="Y18" s="82" t="str">
        <f>CONCATENATE("("""&amp;E18&amp;""",""VALUE"");")</f>
        <v>("sourceRecent_evar","VALUE");</v>
      </c>
      <c r="Z18" s="82"/>
      <c r="AA18" s="82"/>
    </row>
    <row r="19" spans="1:27" ht="52" x14ac:dyDescent="0.15">
      <c r="A19" s="158" t="s">
        <v>274</v>
      </c>
      <c r="B19" s="147"/>
      <c r="C19" s="148">
        <v>2</v>
      </c>
      <c r="D19" s="149"/>
      <c r="E19" s="149" t="s">
        <v>275</v>
      </c>
      <c r="F19" s="150" t="s">
        <v>276</v>
      </c>
      <c r="G19" s="150" t="s">
        <v>277</v>
      </c>
      <c r="H19" s="150" t="s">
        <v>278</v>
      </c>
      <c r="I19" s="150" t="s">
        <v>279</v>
      </c>
      <c r="J19" s="151" t="s">
        <v>280</v>
      </c>
      <c r="K19" s="159"/>
      <c r="L19" s="89" t="s">
        <v>81</v>
      </c>
      <c r="M19" s="62" t="s">
        <v>125</v>
      </c>
      <c r="N19" s="62"/>
      <c r="O19" s="62"/>
      <c r="P19" s="160" t="s">
        <v>92</v>
      </c>
      <c r="Q19" s="161"/>
      <c r="R19" s="162" t="s">
        <v>92</v>
      </c>
      <c r="S19" s="161"/>
      <c r="T19" s="162" t="s">
        <v>92</v>
      </c>
      <c r="U19" s="161"/>
      <c r="V19" s="162" t="s">
        <v>92</v>
      </c>
      <c r="W19" s="163"/>
      <c r="X19" s="82"/>
      <c r="Y19" s="82"/>
      <c r="Z19" s="82"/>
      <c r="AA19" s="82"/>
    </row>
    <row r="20" spans="1:27" ht="19.5" customHeight="1" x14ac:dyDescent="0.15">
      <c r="A20" s="158"/>
      <c r="B20" s="147"/>
      <c r="C20" s="149"/>
      <c r="D20" s="149"/>
      <c r="E20" s="149"/>
      <c r="F20" s="150"/>
      <c r="G20" s="150"/>
      <c r="H20" s="150"/>
      <c r="I20" s="150"/>
      <c r="J20" s="150"/>
      <c r="K20" s="164"/>
      <c r="L20" s="100"/>
      <c r="M20" s="100"/>
      <c r="N20" s="100"/>
      <c r="O20" s="100"/>
      <c r="P20" s="165"/>
      <c r="Q20" s="165"/>
      <c r="R20" s="165"/>
      <c r="S20" s="165"/>
      <c r="T20" s="165"/>
      <c r="U20" s="165"/>
      <c r="V20" s="165"/>
      <c r="W20" s="82"/>
      <c r="X20" s="82"/>
      <c r="Y20" s="82"/>
      <c r="Z20" s="82"/>
      <c r="AA20" s="82"/>
    </row>
    <row r="21" spans="1:27" ht="19.5" customHeight="1" x14ac:dyDescent="0.15">
      <c r="A21" s="166"/>
      <c r="B21" s="167"/>
      <c r="C21" s="166"/>
      <c r="D21" s="166"/>
      <c r="E21" s="166"/>
      <c r="F21" s="166"/>
      <c r="G21" s="166"/>
      <c r="H21" s="150"/>
      <c r="I21" s="150"/>
      <c r="J21" s="150"/>
      <c r="K21" s="159"/>
      <c r="L21" s="89"/>
      <c r="M21" s="89"/>
      <c r="N21" s="89"/>
      <c r="O21" s="89"/>
      <c r="P21" s="165"/>
      <c r="Q21" s="165"/>
      <c r="R21" s="165"/>
      <c r="S21" s="165"/>
      <c r="T21" s="165"/>
      <c r="U21" s="168"/>
      <c r="V21" s="165"/>
      <c r="W21" s="82"/>
      <c r="X21" s="82"/>
      <c r="Y21" s="82"/>
      <c r="Z21" s="82"/>
      <c r="AA21" s="82"/>
    </row>
    <row r="22" spans="1:27" ht="19.5" customHeight="1" x14ac:dyDescent="0.15">
      <c r="A22" s="166"/>
      <c r="B22" s="167"/>
      <c r="C22" s="166"/>
      <c r="D22" s="166"/>
      <c r="E22" s="166"/>
      <c r="F22" s="166"/>
      <c r="G22" s="166"/>
      <c r="H22" s="150"/>
      <c r="I22" s="150"/>
      <c r="J22" s="150"/>
      <c r="K22" s="159"/>
      <c r="L22" s="89"/>
      <c r="M22" s="89"/>
      <c r="N22" s="89"/>
      <c r="O22" s="89"/>
      <c r="P22" s="165"/>
      <c r="Q22" s="165"/>
      <c r="R22" s="165"/>
      <c r="S22" s="165"/>
      <c r="T22" s="165"/>
      <c r="U22" s="165"/>
      <c r="V22" s="165"/>
      <c r="W22" s="82"/>
      <c r="X22" s="82"/>
      <c r="Y22" s="82"/>
      <c r="Z22" s="82"/>
      <c r="AA22" s="82"/>
    </row>
    <row r="23" spans="1:27" ht="19.5" customHeight="1" x14ac:dyDescent="0.15">
      <c r="A23" s="169"/>
      <c r="B23" s="167"/>
      <c r="C23" s="169"/>
      <c r="D23" s="169"/>
      <c r="E23" s="169"/>
      <c r="F23" s="169"/>
      <c r="G23" s="169"/>
      <c r="H23" s="169"/>
      <c r="I23" s="169"/>
      <c r="J23" s="169"/>
      <c r="K23" s="170"/>
      <c r="L23" s="89"/>
      <c r="M23" s="89"/>
      <c r="N23" s="89"/>
      <c r="O23" s="89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</row>
    <row r="24" spans="1:27" ht="19.5" customHeight="1" x14ac:dyDescent="0.15">
      <c r="A24" s="169"/>
      <c r="B24" s="167"/>
      <c r="C24" s="169"/>
      <c r="D24" s="169"/>
      <c r="E24" s="169"/>
      <c r="F24" s="169"/>
      <c r="G24" s="169"/>
      <c r="H24" s="169"/>
      <c r="I24" s="169"/>
      <c r="J24" s="169"/>
      <c r="K24" s="170"/>
      <c r="L24" s="89"/>
      <c r="M24" s="89"/>
      <c r="N24" s="89"/>
      <c r="O24" s="89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</row>
    <row r="25" spans="1:27" ht="19.5" customHeight="1" x14ac:dyDescent="0.15">
      <c r="A25" s="169"/>
      <c r="B25" s="167"/>
      <c r="C25" s="169"/>
      <c r="D25" s="169"/>
      <c r="E25" s="169"/>
      <c r="F25" s="169"/>
      <c r="G25" s="169"/>
      <c r="H25" s="169"/>
      <c r="I25" s="169"/>
      <c r="J25" s="169"/>
      <c r="K25" s="170"/>
      <c r="L25" s="89"/>
      <c r="M25" s="89"/>
      <c r="N25" s="89"/>
      <c r="O25" s="89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</row>
    <row r="26" spans="1:27" ht="19.5" customHeight="1" x14ac:dyDescent="0.15">
      <c r="A26" s="169"/>
      <c r="B26" s="167"/>
      <c r="C26" s="169"/>
      <c r="D26" s="169"/>
      <c r="E26" s="169"/>
      <c r="F26" s="169"/>
      <c r="G26" s="169"/>
      <c r="H26" s="169"/>
      <c r="I26" s="169"/>
      <c r="J26" s="169"/>
      <c r="K26" s="170"/>
      <c r="L26" s="100"/>
      <c r="M26" s="100"/>
      <c r="N26" s="100"/>
      <c r="O26" s="100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</row>
    <row r="27" spans="1:27" ht="19.5" customHeight="1" x14ac:dyDescent="0.15">
      <c r="A27" s="169"/>
      <c r="B27" s="167"/>
      <c r="C27" s="169"/>
      <c r="D27" s="169"/>
      <c r="E27" s="169"/>
      <c r="F27" s="169"/>
      <c r="G27" s="169"/>
      <c r="H27" s="169"/>
      <c r="I27" s="169"/>
      <c r="J27" s="169"/>
      <c r="K27" s="170"/>
      <c r="L27" s="89"/>
      <c r="M27" s="89"/>
      <c r="N27" s="89"/>
      <c r="O27" s="89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</row>
    <row r="28" spans="1:27" ht="19.5" customHeight="1" x14ac:dyDescent="0.15">
      <c r="A28" s="169"/>
      <c r="B28" s="167"/>
      <c r="C28" s="169"/>
      <c r="D28" s="169"/>
      <c r="E28" s="169"/>
      <c r="F28" s="169"/>
      <c r="G28" s="169"/>
      <c r="H28" s="169"/>
      <c r="I28" s="169"/>
      <c r="J28" s="169"/>
      <c r="K28" s="170"/>
      <c r="L28" s="89"/>
      <c r="M28" s="89"/>
      <c r="N28" s="89"/>
      <c r="O28" s="89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</row>
    <row r="29" spans="1:27" ht="19.5" customHeight="1" x14ac:dyDescent="0.15">
      <c r="A29" s="169"/>
      <c r="B29" s="167"/>
      <c r="C29" s="169"/>
      <c r="D29" s="169"/>
      <c r="E29" s="169"/>
      <c r="F29" s="169"/>
      <c r="G29" s="169"/>
      <c r="H29" s="169"/>
      <c r="I29" s="169"/>
      <c r="J29" s="169"/>
      <c r="K29" s="170"/>
      <c r="L29" s="89"/>
      <c r="M29" s="89"/>
      <c r="N29" s="89"/>
      <c r="O29" s="89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</row>
    <row r="30" spans="1:27" ht="19.5" customHeight="1" x14ac:dyDescent="0.15">
      <c r="A30" s="2"/>
      <c r="B30" s="171"/>
      <c r="C30" s="2"/>
      <c r="D30" s="2"/>
      <c r="E30" s="2"/>
      <c r="F30" s="2"/>
      <c r="G30" s="2"/>
      <c r="H30" s="2"/>
      <c r="I30" s="2"/>
      <c r="J30" s="2"/>
      <c r="K30" s="2"/>
      <c r="L30" s="108"/>
      <c r="M30" s="113"/>
      <c r="N30" s="113"/>
      <c r="O30" s="11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9.5" customHeight="1" x14ac:dyDescent="0.15">
      <c r="A31" s="2"/>
      <c r="B31" s="17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9.5" customHeight="1" x14ac:dyDescent="0.15">
      <c r="A32" s="2"/>
      <c r="B32" s="17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9.5" customHeight="1" x14ac:dyDescent="0.15">
      <c r="A33" s="2"/>
      <c r="B33" s="17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9.5" customHeight="1" x14ac:dyDescent="0.15">
      <c r="A34" s="2"/>
      <c r="B34" s="17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9.5" customHeight="1" x14ac:dyDescent="0.15">
      <c r="A35" s="2"/>
      <c r="B35" s="17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9.5" customHeight="1" x14ac:dyDescent="0.15">
      <c r="A36" s="2"/>
      <c r="B36" s="17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9.5" customHeight="1" x14ac:dyDescent="0.15">
      <c r="A37" s="2"/>
      <c r="B37" s="17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9.5" customHeight="1" x14ac:dyDescent="0.15">
      <c r="A38" s="2"/>
      <c r="B38" s="17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9.5" customHeight="1" x14ac:dyDescent="0.15">
      <c r="A39" s="2"/>
      <c r="B39" s="17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9.5" customHeight="1" x14ac:dyDescent="0.15">
      <c r="A40" s="2"/>
      <c r="B40" s="17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9.5" customHeight="1" x14ac:dyDescent="0.15">
      <c r="A41" s="2"/>
      <c r="B41" s="17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9.5" customHeight="1" x14ac:dyDescent="0.15">
      <c r="A42" s="2"/>
      <c r="B42" s="17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9.5" customHeight="1" x14ac:dyDescent="0.15">
      <c r="A43" s="2"/>
      <c r="B43" s="17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9.5" customHeight="1" x14ac:dyDescent="0.15">
      <c r="A44" s="2"/>
      <c r="B44" s="17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9.5" customHeight="1" x14ac:dyDescent="0.15">
      <c r="A45" s="2"/>
      <c r="B45" s="17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9.5" customHeight="1" x14ac:dyDescent="0.15">
      <c r="A46" s="2"/>
      <c r="B46" s="17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9.5" customHeight="1" x14ac:dyDescent="0.15">
      <c r="A47" s="2"/>
      <c r="B47" s="17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9.5" customHeight="1" x14ac:dyDescent="0.15">
      <c r="A48" s="2"/>
      <c r="B48" s="17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9.5" customHeight="1" x14ac:dyDescent="0.15">
      <c r="A49" s="2"/>
      <c r="B49" s="17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9.5" customHeight="1" x14ac:dyDescent="0.15">
      <c r="A50" s="2"/>
      <c r="B50" s="17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9.5" customHeight="1" x14ac:dyDescent="0.15">
      <c r="A51" s="2"/>
      <c r="B51" s="17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9.5" customHeight="1" x14ac:dyDescent="0.15">
      <c r="A52" s="2"/>
      <c r="B52" s="17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9.5" customHeight="1" x14ac:dyDescent="0.15">
      <c r="A53" s="2"/>
      <c r="B53" s="17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9.5" customHeight="1" x14ac:dyDescent="0.15">
      <c r="A54" s="2"/>
      <c r="B54" s="17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9.5" customHeight="1" x14ac:dyDescent="0.15">
      <c r="A55" s="2"/>
      <c r="B55" s="17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9.5" customHeight="1" x14ac:dyDescent="0.15">
      <c r="A56" s="2"/>
      <c r="B56" s="17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9.5" customHeight="1" x14ac:dyDescent="0.15">
      <c r="A57" s="2"/>
      <c r="B57" s="17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9.5" customHeight="1" x14ac:dyDescent="0.15">
      <c r="A58" s="2"/>
      <c r="B58" s="17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9.5" customHeight="1" x14ac:dyDescent="0.15">
      <c r="A59" s="2"/>
      <c r="B59" s="17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9.5" customHeight="1" x14ac:dyDescent="0.15">
      <c r="A60" s="2"/>
      <c r="B60" s="17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9.5" customHeight="1" x14ac:dyDescent="0.15">
      <c r="A61" s="2"/>
      <c r="B61" s="17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9.5" customHeight="1" x14ac:dyDescent="0.15">
      <c r="A62" s="2"/>
      <c r="B62" s="17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9.5" customHeight="1" x14ac:dyDescent="0.15">
      <c r="A63" s="2"/>
      <c r="B63" s="17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9.5" customHeight="1" x14ac:dyDescent="0.15">
      <c r="A64" s="2"/>
      <c r="B64" s="17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9.5" customHeight="1" x14ac:dyDescent="0.15">
      <c r="A65" s="2"/>
      <c r="B65" s="17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9.5" customHeight="1" x14ac:dyDescent="0.15">
      <c r="A66" s="2"/>
      <c r="B66" s="17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9.5" customHeight="1" x14ac:dyDescent="0.15">
      <c r="A67" s="2"/>
      <c r="B67" s="17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9.5" customHeight="1" x14ac:dyDescent="0.15">
      <c r="A68" s="2"/>
      <c r="B68" s="17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9.5" customHeight="1" x14ac:dyDescent="0.15">
      <c r="A69" s="2"/>
      <c r="B69" s="17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9.5" customHeight="1" x14ac:dyDescent="0.15">
      <c r="A70" s="2"/>
      <c r="B70" s="17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9.5" customHeight="1" x14ac:dyDescent="0.15">
      <c r="A71" s="2"/>
      <c r="B71" s="17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9.5" customHeight="1" x14ac:dyDescent="0.15">
      <c r="A72" s="2"/>
      <c r="B72" s="17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9.5" customHeight="1" x14ac:dyDescent="0.15">
      <c r="A73" s="2"/>
      <c r="B73" s="17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9.5" customHeight="1" x14ac:dyDescent="0.15">
      <c r="A74" s="2"/>
      <c r="B74" s="17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9.5" customHeight="1" x14ac:dyDescent="0.15">
      <c r="A75" s="2"/>
      <c r="B75" s="17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9.5" customHeight="1" x14ac:dyDescent="0.15">
      <c r="A76" s="2"/>
      <c r="B76" s="17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9.5" customHeight="1" x14ac:dyDescent="0.15">
      <c r="A77" s="2"/>
      <c r="B77" s="17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9.5" customHeight="1" x14ac:dyDescent="0.15">
      <c r="A78" s="2"/>
      <c r="B78" s="17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9.5" customHeight="1" x14ac:dyDescent="0.15">
      <c r="A79" s="2"/>
      <c r="B79" s="17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9.5" customHeight="1" x14ac:dyDescent="0.15">
      <c r="A80" s="2"/>
      <c r="B80" s="17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9.5" customHeight="1" x14ac:dyDescent="0.15">
      <c r="A81" s="2"/>
      <c r="B81" s="17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9.5" customHeight="1" x14ac:dyDescent="0.15">
      <c r="A82" s="2"/>
      <c r="B82" s="17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9.5" customHeight="1" x14ac:dyDescent="0.15">
      <c r="A83" s="2"/>
      <c r="B83" s="17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9.5" customHeight="1" x14ac:dyDescent="0.15">
      <c r="A84" s="2"/>
      <c r="B84" s="17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9.5" customHeight="1" x14ac:dyDescent="0.15">
      <c r="A85" s="2"/>
      <c r="B85" s="17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9.5" customHeight="1" x14ac:dyDescent="0.15">
      <c r="A86" s="2"/>
      <c r="B86" s="17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9.5" customHeight="1" x14ac:dyDescent="0.15">
      <c r="A87" s="2"/>
      <c r="B87" s="17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9.5" customHeight="1" x14ac:dyDescent="0.15">
      <c r="A88" s="2"/>
      <c r="B88" s="17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9.5" customHeight="1" x14ac:dyDescent="0.15">
      <c r="A89" s="2"/>
      <c r="B89" s="17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9.5" customHeight="1" x14ac:dyDescent="0.15">
      <c r="A90" s="2"/>
      <c r="B90" s="17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9.5" customHeight="1" x14ac:dyDescent="0.15">
      <c r="A91" s="2"/>
      <c r="B91" s="17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9.5" customHeight="1" x14ac:dyDescent="0.15">
      <c r="A92" s="2"/>
      <c r="B92" s="17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9.5" customHeight="1" x14ac:dyDescent="0.15">
      <c r="A93" s="2"/>
      <c r="B93" s="17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9.5" customHeight="1" x14ac:dyDescent="0.15">
      <c r="A94" s="2"/>
      <c r="B94" s="17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9.5" customHeight="1" x14ac:dyDescent="0.15">
      <c r="A95" s="2"/>
      <c r="B95" s="17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9.5" customHeight="1" x14ac:dyDescent="0.15">
      <c r="A96" s="2"/>
      <c r="B96" s="17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9.5" customHeight="1" x14ac:dyDescent="0.15">
      <c r="A97" s="2"/>
      <c r="B97" s="17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9.5" customHeight="1" x14ac:dyDescent="0.15">
      <c r="A98" s="2"/>
      <c r="B98" s="17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9.5" customHeight="1" x14ac:dyDescent="0.15">
      <c r="A99" s="2"/>
      <c r="B99" s="17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9.5" customHeight="1" x14ac:dyDescent="0.15">
      <c r="A100" s="2"/>
      <c r="B100" s="17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9.5" customHeight="1" x14ac:dyDescent="0.15">
      <c r="A101" s="2"/>
      <c r="B101" s="17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9.5" customHeight="1" x14ac:dyDescent="0.15">
      <c r="A102" s="2"/>
      <c r="B102" s="17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9.5" customHeight="1" x14ac:dyDescent="0.15">
      <c r="A103" s="2"/>
      <c r="B103" s="17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9.5" customHeight="1" x14ac:dyDescent="0.15">
      <c r="A104" s="2"/>
      <c r="B104" s="17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9.5" customHeight="1" x14ac:dyDescent="0.15">
      <c r="A105" s="2"/>
      <c r="B105" s="17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9.5" customHeight="1" x14ac:dyDescent="0.15">
      <c r="A106" s="2"/>
      <c r="B106" s="17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9.5" customHeight="1" x14ac:dyDescent="0.15">
      <c r="A107" s="2"/>
      <c r="B107" s="17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9.5" customHeight="1" x14ac:dyDescent="0.15">
      <c r="A108" s="2"/>
      <c r="B108" s="17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9.5" customHeight="1" x14ac:dyDescent="0.15">
      <c r="A109" s="2"/>
      <c r="B109" s="17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9.5" customHeight="1" x14ac:dyDescent="0.15">
      <c r="A110" s="2"/>
      <c r="B110" s="17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9.5" customHeight="1" x14ac:dyDescent="0.15">
      <c r="A111" s="2"/>
      <c r="B111" s="17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9.5" customHeight="1" x14ac:dyDescent="0.15">
      <c r="A112" s="2"/>
      <c r="B112" s="17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9.5" customHeight="1" x14ac:dyDescent="0.15">
      <c r="A113" s="2"/>
      <c r="B113" s="17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9.5" customHeight="1" x14ac:dyDescent="0.15">
      <c r="A114" s="2"/>
      <c r="B114" s="17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9.5" customHeight="1" x14ac:dyDescent="0.15">
      <c r="A115" s="2"/>
      <c r="B115" s="17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9.5" customHeight="1" x14ac:dyDescent="0.15">
      <c r="A116" s="2"/>
      <c r="B116" s="17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9.5" customHeight="1" x14ac:dyDescent="0.15">
      <c r="A117" s="2"/>
      <c r="B117" s="17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9.5" customHeight="1" x14ac:dyDescent="0.15">
      <c r="A118" s="2"/>
      <c r="B118" s="17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9.5" customHeight="1" x14ac:dyDescent="0.15">
      <c r="A119" s="2"/>
      <c r="B119" s="17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9.5" customHeight="1" x14ac:dyDescent="0.15">
      <c r="A120" s="2"/>
      <c r="B120" s="17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9.5" customHeight="1" x14ac:dyDescent="0.15">
      <c r="A121" s="2"/>
      <c r="B121" s="17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9.5" customHeight="1" x14ac:dyDescent="0.15">
      <c r="A122" s="2"/>
      <c r="B122" s="17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9.5" customHeight="1" x14ac:dyDescent="0.15">
      <c r="A123" s="2"/>
      <c r="B123" s="17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9.5" customHeight="1" x14ac:dyDescent="0.15">
      <c r="A124" s="2"/>
      <c r="B124" s="17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9.5" customHeight="1" x14ac:dyDescent="0.15">
      <c r="A125" s="2"/>
      <c r="B125" s="17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9.5" customHeight="1" x14ac:dyDescent="0.15">
      <c r="A126" s="2"/>
      <c r="B126" s="17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9.5" customHeight="1" x14ac:dyDescent="0.15">
      <c r="A127" s="2"/>
      <c r="B127" s="17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9.5" customHeight="1" x14ac:dyDescent="0.15">
      <c r="A128" s="2"/>
      <c r="B128" s="17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9.5" customHeight="1" x14ac:dyDescent="0.15">
      <c r="A129" s="2"/>
      <c r="B129" s="17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9.5" customHeight="1" x14ac:dyDescent="0.15">
      <c r="A130" s="2"/>
      <c r="B130" s="17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9.5" customHeight="1" x14ac:dyDescent="0.15">
      <c r="A131" s="2"/>
      <c r="B131" s="17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9.5" customHeight="1" x14ac:dyDescent="0.15">
      <c r="A132" s="2"/>
      <c r="B132" s="17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9.5" customHeight="1" x14ac:dyDescent="0.15">
      <c r="A133" s="2"/>
      <c r="B133" s="17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9.5" customHeight="1" x14ac:dyDescent="0.15">
      <c r="A134" s="2"/>
      <c r="B134" s="17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9.5" customHeight="1" x14ac:dyDescent="0.15">
      <c r="A135" s="2"/>
      <c r="B135" s="17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9.5" customHeight="1" x14ac:dyDescent="0.15">
      <c r="A136" s="2"/>
      <c r="B136" s="17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9.5" customHeight="1" x14ac:dyDescent="0.15">
      <c r="A137" s="2"/>
      <c r="B137" s="17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9.5" customHeight="1" x14ac:dyDescent="0.15">
      <c r="A138" s="2"/>
      <c r="B138" s="17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9.5" customHeight="1" x14ac:dyDescent="0.15">
      <c r="A139" s="2"/>
      <c r="B139" s="17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9.5" customHeight="1" x14ac:dyDescent="0.15">
      <c r="A140" s="2"/>
      <c r="B140" s="17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9.5" customHeight="1" x14ac:dyDescent="0.15">
      <c r="A141" s="2"/>
      <c r="B141" s="17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9.5" customHeight="1" x14ac:dyDescent="0.15">
      <c r="A142" s="2"/>
      <c r="B142" s="17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9.5" customHeight="1" x14ac:dyDescent="0.15">
      <c r="A143" s="2"/>
      <c r="B143" s="17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9.5" customHeight="1" x14ac:dyDescent="0.15">
      <c r="A144" s="2"/>
      <c r="B144" s="17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9.5" customHeight="1" x14ac:dyDescent="0.15">
      <c r="A145" s="2"/>
      <c r="B145" s="17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9.5" customHeight="1" x14ac:dyDescent="0.15">
      <c r="A146" s="2"/>
      <c r="B146" s="17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9.5" customHeight="1" x14ac:dyDescent="0.15">
      <c r="A147" s="2"/>
      <c r="B147" s="17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9.5" customHeight="1" x14ac:dyDescent="0.15">
      <c r="A148" s="2"/>
      <c r="B148" s="17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9.5" customHeight="1" x14ac:dyDescent="0.15">
      <c r="A149" s="2"/>
      <c r="B149" s="17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9.5" customHeight="1" x14ac:dyDescent="0.15">
      <c r="A150" s="2"/>
      <c r="B150" s="17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9.5" customHeight="1" x14ac:dyDescent="0.15">
      <c r="A151" s="2"/>
      <c r="B151" s="17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9.5" customHeight="1" x14ac:dyDescent="0.15">
      <c r="A152" s="2"/>
      <c r="B152" s="17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9.5" customHeight="1" x14ac:dyDescent="0.15">
      <c r="A153" s="2"/>
      <c r="B153" s="17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9.5" customHeight="1" x14ac:dyDescent="0.15">
      <c r="A154" s="2"/>
      <c r="B154" s="17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9.5" customHeight="1" x14ac:dyDescent="0.15">
      <c r="A155" s="2"/>
      <c r="B155" s="17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9.5" customHeight="1" x14ac:dyDescent="0.15">
      <c r="A156" s="2"/>
      <c r="B156" s="17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9.5" customHeight="1" x14ac:dyDescent="0.15">
      <c r="A157" s="2"/>
      <c r="B157" s="17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9.5" customHeight="1" x14ac:dyDescent="0.15">
      <c r="A158" s="2"/>
      <c r="B158" s="17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9.5" customHeight="1" x14ac:dyDescent="0.15">
      <c r="A159" s="2"/>
      <c r="B159" s="17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9.5" customHeight="1" x14ac:dyDescent="0.15">
      <c r="A160" s="2"/>
      <c r="B160" s="17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9.5" customHeight="1" x14ac:dyDescent="0.15">
      <c r="A161" s="2"/>
      <c r="B161" s="17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9.5" customHeight="1" x14ac:dyDescent="0.15">
      <c r="A162" s="2"/>
      <c r="B162" s="17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9.5" customHeight="1" x14ac:dyDescent="0.15">
      <c r="A163" s="2"/>
      <c r="B163" s="17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9.5" customHeight="1" x14ac:dyDescent="0.15">
      <c r="A164" s="2"/>
      <c r="B164" s="17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9.5" customHeight="1" x14ac:dyDescent="0.15">
      <c r="A165" s="2"/>
      <c r="B165" s="17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9.5" customHeight="1" x14ac:dyDescent="0.15">
      <c r="A166" s="2"/>
      <c r="B166" s="17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9.5" customHeight="1" x14ac:dyDescent="0.15">
      <c r="A167" s="2"/>
      <c r="B167" s="17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9.5" customHeight="1" x14ac:dyDescent="0.15">
      <c r="A168" s="2"/>
      <c r="B168" s="17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9.5" customHeight="1" x14ac:dyDescent="0.15">
      <c r="A169" s="2"/>
      <c r="B169" s="17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9.5" customHeight="1" x14ac:dyDescent="0.15">
      <c r="A170" s="2"/>
      <c r="B170" s="17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9.5" customHeight="1" x14ac:dyDescent="0.15">
      <c r="A171" s="2"/>
      <c r="B171" s="17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9.5" customHeight="1" x14ac:dyDescent="0.15">
      <c r="A172" s="2"/>
      <c r="B172" s="17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9.5" customHeight="1" x14ac:dyDescent="0.15">
      <c r="A173" s="2"/>
      <c r="B173" s="17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9.5" customHeight="1" x14ac:dyDescent="0.15">
      <c r="A174" s="2"/>
      <c r="B174" s="17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9.5" customHeight="1" x14ac:dyDescent="0.15">
      <c r="A175" s="2"/>
      <c r="B175" s="17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9.5" customHeight="1" x14ac:dyDescent="0.15">
      <c r="A176" s="2"/>
      <c r="B176" s="17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9.5" customHeight="1" x14ac:dyDescent="0.15">
      <c r="A177" s="2"/>
      <c r="B177" s="17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9.5" customHeight="1" x14ac:dyDescent="0.15">
      <c r="A178" s="2"/>
      <c r="B178" s="17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9.5" customHeight="1" x14ac:dyDescent="0.15">
      <c r="A179" s="2"/>
      <c r="B179" s="17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9.5" customHeight="1" x14ac:dyDescent="0.15">
      <c r="A180" s="2"/>
      <c r="B180" s="17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9.5" customHeight="1" x14ac:dyDescent="0.15">
      <c r="A181" s="2"/>
      <c r="B181" s="17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9.5" customHeight="1" x14ac:dyDescent="0.15">
      <c r="A182" s="2"/>
      <c r="B182" s="17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9.5" customHeight="1" x14ac:dyDescent="0.15">
      <c r="A183" s="2"/>
      <c r="B183" s="17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9.5" customHeight="1" x14ac:dyDescent="0.15">
      <c r="A184" s="2"/>
      <c r="B184" s="17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9.5" customHeight="1" x14ac:dyDescent="0.15">
      <c r="A185" s="2"/>
      <c r="B185" s="17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9.5" customHeight="1" x14ac:dyDescent="0.15">
      <c r="A186" s="2"/>
      <c r="B186" s="17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9.5" customHeight="1" x14ac:dyDescent="0.15">
      <c r="A187" s="2"/>
      <c r="B187" s="17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9.5" customHeight="1" x14ac:dyDescent="0.15">
      <c r="A188" s="2"/>
      <c r="B188" s="17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9.5" customHeight="1" x14ac:dyDescent="0.15">
      <c r="A189" s="2"/>
      <c r="B189" s="17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9.5" customHeight="1" x14ac:dyDescent="0.15">
      <c r="A190" s="2"/>
      <c r="B190" s="17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9.5" customHeight="1" x14ac:dyDescent="0.15">
      <c r="A191" s="2"/>
      <c r="B191" s="17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9.5" customHeight="1" x14ac:dyDescent="0.15">
      <c r="A192" s="2"/>
      <c r="B192" s="17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9.5" customHeight="1" x14ac:dyDescent="0.15">
      <c r="A193" s="2"/>
      <c r="B193" s="17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9.5" customHeight="1" x14ac:dyDescent="0.15">
      <c r="A194" s="2"/>
      <c r="B194" s="17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9.5" customHeight="1" x14ac:dyDescent="0.15">
      <c r="A195" s="2"/>
      <c r="B195" s="17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9.5" customHeight="1" x14ac:dyDescent="0.15">
      <c r="A196" s="2"/>
      <c r="B196" s="17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9.5" customHeight="1" x14ac:dyDescent="0.15">
      <c r="A197" s="2"/>
      <c r="B197" s="17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9.5" customHeight="1" x14ac:dyDescent="0.15">
      <c r="A198" s="2"/>
      <c r="B198" s="17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9.5" customHeight="1" x14ac:dyDescent="0.15">
      <c r="A199" s="2"/>
      <c r="B199" s="17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9.5" customHeight="1" x14ac:dyDescent="0.15">
      <c r="A200" s="2"/>
      <c r="B200" s="17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9.5" customHeight="1" x14ac:dyDescent="0.15">
      <c r="A201" s="2"/>
      <c r="B201" s="17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9.5" customHeight="1" x14ac:dyDescent="0.15">
      <c r="A202" s="2"/>
      <c r="B202" s="17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9.5" customHeight="1" x14ac:dyDescent="0.15">
      <c r="A203" s="2"/>
      <c r="B203" s="17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9.5" customHeight="1" x14ac:dyDescent="0.15">
      <c r="A204" s="2"/>
      <c r="B204" s="17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9.5" customHeight="1" x14ac:dyDescent="0.15">
      <c r="A205" s="2"/>
      <c r="B205" s="17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9.5" customHeight="1" x14ac:dyDescent="0.15">
      <c r="A206" s="2"/>
      <c r="B206" s="17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9.5" customHeight="1" x14ac:dyDescent="0.15">
      <c r="A207" s="2"/>
      <c r="B207" s="17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9.5" customHeight="1" x14ac:dyDescent="0.15">
      <c r="A208" s="2"/>
      <c r="B208" s="17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9.5" customHeight="1" x14ac:dyDescent="0.15">
      <c r="A209" s="2"/>
      <c r="B209" s="17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9.5" customHeight="1" x14ac:dyDescent="0.15">
      <c r="A210" s="2"/>
      <c r="B210" s="17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9.5" customHeight="1" x14ac:dyDescent="0.15">
      <c r="A211" s="2"/>
      <c r="B211" s="17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9.5" customHeight="1" x14ac:dyDescent="0.15">
      <c r="A212" s="2"/>
      <c r="B212" s="17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9.5" customHeight="1" x14ac:dyDescent="0.15">
      <c r="A213" s="2"/>
      <c r="B213" s="17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9.5" customHeight="1" x14ac:dyDescent="0.15">
      <c r="A214" s="2"/>
      <c r="B214" s="17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9.5" customHeight="1" x14ac:dyDescent="0.15">
      <c r="A215" s="2"/>
      <c r="B215" s="17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9.5" customHeight="1" x14ac:dyDescent="0.15">
      <c r="A216" s="2"/>
      <c r="B216" s="17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9.5" customHeight="1" x14ac:dyDescent="0.15">
      <c r="A217" s="2"/>
      <c r="B217" s="17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9.5" customHeight="1" x14ac:dyDescent="0.15">
      <c r="A218" s="2"/>
      <c r="B218" s="17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9.5" customHeight="1" x14ac:dyDescent="0.15">
      <c r="A219" s="2"/>
      <c r="B219" s="17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9.5" customHeight="1" x14ac:dyDescent="0.15">
      <c r="A220" s="2"/>
      <c r="B220" s="17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9.5" customHeight="1" x14ac:dyDescent="0.15">
      <c r="A221" s="2"/>
      <c r="B221" s="17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9.5" customHeight="1" x14ac:dyDescent="0.15">
      <c r="A222" s="2"/>
      <c r="B222" s="17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 x14ac:dyDescent="0.15">
      <c r="A223" s="2"/>
      <c r="B223" s="17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 x14ac:dyDescent="0.15">
      <c r="A224" s="2"/>
      <c r="B224" s="17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 x14ac:dyDescent="0.15">
      <c r="A225" s="2"/>
      <c r="B225" s="17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 x14ac:dyDescent="0.15">
      <c r="A226" s="2"/>
      <c r="B226" s="17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 x14ac:dyDescent="0.15">
      <c r="A227" s="2"/>
      <c r="B227" s="17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 x14ac:dyDescent="0.15">
      <c r="A228" s="2"/>
      <c r="B228" s="17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 x14ac:dyDescent="0.15">
      <c r="A229" s="2"/>
      <c r="B229" s="17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 x14ac:dyDescent="0.15">
      <c r="A230" s="2"/>
      <c r="B230" s="17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 x14ac:dyDescent="0.15">
      <c r="A231" s="2"/>
      <c r="B231" s="17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 x14ac:dyDescent="0.15">
      <c r="A232" s="2"/>
      <c r="B232" s="17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 x14ac:dyDescent="0.15">
      <c r="A233" s="2"/>
      <c r="B233" s="17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 x14ac:dyDescent="0.15">
      <c r="A234" s="2"/>
      <c r="B234" s="17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 x14ac:dyDescent="0.15">
      <c r="A235" s="2"/>
      <c r="B235" s="17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 x14ac:dyDescent="0.15">
      <c r="A236" s="2"/>
      <c r="B236" s="17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 x14ac:dyDescent="0.15">
      <c r="A237" s="2"/>
      <c r="B237" s="17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 x14ac:dyDescent="0.15">
      <c r="A238" s="2"/>
      <c r="B238" s="17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 x14ac:dyDescent="0.15">
      <c r="A239" s="2"/>
      <c r="B239" s="17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 x14ac:dyDescent="0.15">
      <c r="A240" s="2"/>
      <c r="B240" s="17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 x14ac:dyDescent="0.15">
      <c r="A241" s="2"/>
      <c r="B241" s="17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 x14ac:dyDescent="0.15">
      <c r="A242" s="2"/>
      <c r="B242" s="17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 x14ac:dyDescent="0.15">
      <c r="A243" s="2"/>
      <c r="B243" s="17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 x14ac:dyDescent="0.15">
      <c r="A244" s="2"/>
      <c r="B244" s="17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 x14ac:dyDescent="0.15">
      <c r="A245" s="2"/>
      <c r="B245" s="17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 x14ac:dyDescent="0.15">
      <c r="A246" s="2"/>
      <c r="B246" s="17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 x14ac:dyDescent="0.15">
      <c r="A247" s="2"/>
      <c r="B247" s="17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 x14ac:dyDescent="0.15">
      <c r="A248" s="2"/>
      <c r="B248" s="17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 x14ac:dyDescent="0.15">
      <c r="A249" s="2"/>
      <c r="B249" s="17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 x14ac:dyDescent="0.15">
      <c r="A250" s="2"/>
      <c r="B250" s="17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 x14ac:dyDescent="0.15">
      <c r="A251" s="2"/>
      <c r="B251" s="17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 x14ac:dyDescent="0.15">
      <c r="A252" s="2"/>
      <c r="B252" s="17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 x14ac:dyDescent="0.15">
      <c r="A253" s="2"/>
      <c r="B253" s="17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 x14ac:dyDescent="0.15">
      <c r="A254" s="2"/>
      <c r="B254" s="17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 x14ac:dyDescent="0.15">
      <c r="A255" s="2"/>
      <c r="B255" s="17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 x14ac:dyDescent="0.15">
      <c r="A256" s="2"/>
      <c r="B256" s="17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 x14ac:dyDescent="0.15">
      <c r="A257" s="2"/>
      <c r="B257" s="17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 x14ac:dyDescent="0.15">
      <c r="A258" s="2"/>
      <c r="B258" s="17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 x14ac:dyDescent="0.15">
      <c r="A259" s="2"/>
      <c r="B259" s="17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 x14ac:dyDescent="0.15">
      <c r="A260" s="2"/>
      <c r="B260" s="17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 x14ac:dyDescent="0.15">
      <c r="A261" s="2"/>
      <c r="B261" s="17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 x14ac:dyDescent="0.15">
      <c r="A262" s="2"/>
      <c r="B262" s="17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 x14ac:dyDescent="0.15">
      <c r="A263" s="2"/>
      <c r="B263" s="17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 x14ac:dyDescent="0.15">
      <c r="A264" s="2"/>
      <c r="B264" s="17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 x14ac:dyDescent="0.15">
      <c r="A265" s="2"/>
      <c r="B265" s="17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 x14ac:dyDescent="0.15">
      <c r="A266" s="2"/>
      <c r="B266" s="17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 x14ac:dyDescent="0.15">
      <c r="A267" s="2"/>
      <c r="B267" s="17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 x14ac:dyDescent="0.15">
      <c r="A268" s="2"/>
      <c r="B268" s="17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 x14ac:dyDescent="0.15">
      <c r="A269" s="2"/>
      <c r="B269" s="17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 x14ac:dyDescent="0.15">
      <c r="A270" s="2"/>
      <c r="B270" s="17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 x14ac:dyDescent="0.15">
      <c r="A271" s="2"/>
      <c r="B271" s="17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 x14ac:dyDescent="0.15">
      <c r="A272" s="2"/>
      <c r="B272" s="17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 x14ac:dyDescent="0.15">
      <c r="A273" s="2"/>
      <c r="B273" s="17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 x14ac:dyDescent="0.15">
      <c r="A274" s="2"/>
      <c r="B274" s="17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 x14ac:dyDescent="0.15">
      <c r="A275" s="2"/>
      <c r="B275" s="17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 x14ac:dyDescent="0.15">
      <c r="A276" s="2"/>
      <c r="B276" s="17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 x14ac:dyDescent="0.15">
      <c r="A277" s="2"/>
      <c r="B277" s="17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 x14ac:dyDescent="0.15">
      <c r="A278" s="2"/>
      <c r="B278" s="17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 x14ac:dyDescent="0.15">
      <c r="A279" s="2"/>
      <c r="B279" s="17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 x14ac:dyDescent="0.15">
      <c r="A280" s="2"/>
      <c r="B280" s="17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 x14ac:dyDescent="0.15">
      <c r="A281" s="2"/>
      <c r="B281" s="17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 x14ac:dyDescent="0.15">
      <c r="A282" s="2"/>
      <c r="B282" s="17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 x14ac:dyDescent="0.15">
      <c r="A283" s="2"/>
      <c r="B283" s="17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 x14ac:dyDescent="0.15">
      <c r="A284" s="2"/>
      <c r="B284" s="17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 x14ac:dyDescent="0.15">
      <c r="A285" s="2"/>
      <c r="B285" s="17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 x14ac:dyDescent="0.15">
      <c r="A286" s="2"/>
      <c r="B286" s="17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 x14ac:dyDescent="0.15">
      <c r="A287" s="2"/>
      <c r="B287" s="17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 x14ac:dyDescent="0.15">
      <c r="A288" s="2"/>
      <c r="B288" s="17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 x14ac:dyDescent="0.15">
      <c r="A289" s="2"/>
      <c r="B289" s="17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 x14ac:dyDescent="0.15">
      <c r="A290" s="2"/>
      <c r="B290" s="17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 x14ac:dyDescent="0.15">
      <c r="A291" s="2"/>
      <c r="B291" s="17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 x14ac:dyDescent="0.15">
      <c r="A292" s="2"/>
      <c r="B292" s="17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 x14ac:dyDescent="0.15">
      <c r="A293" s="2"/>
      <c r="B293" s="17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 x14ac:dyDescent="0.15">
      <c r="A294" s="2"/>
      <c r="B294" s="17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 x14ac:dyDescent="0.15">
      <c r="A295" s="2"/>
      <c r="B295" s="17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 x14ac:dyDescent="0.15">
      <c r="A296" s="2"/>
      <c r="B296" s="17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 x14ac:dyDescent="0.15">
      <c r="A297" s="2"/>
      <c r="B297" s="17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 x14ac:dyDescent="0.15">
      <c r="A298" s="2"/>
      <c r="B298" s="17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 x14ac:dyDescent="0.15">
      <c r="A299" s="2"/>
      <c r="B299" s="17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 x14ac:dyDescent="0.15">
      <c r="A300" s="2"/>
      <c r="B300" s="17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 x14ac:dyDescent="0.15">
      <c r="A301" s="2"/>
      <c r="B301" s="17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 x14ac:dyDescent="0.15">
      <c r="A302" s="2"/>
      <c r="B302" s="17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 x14ac:dyDescent="0.15">
      <c r="A303" s="2"/>
      <c r="B303" s="17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 x14ac:dyDescent="0.15">
      <c r="A304" s="2"/>
      <c r="B304" s="17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 x14ac:dyDescent="0.15">
      <c r="A305" s="2"/>
      <c r="B305" s="17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 x14ac:dyDescent="0.15">
      <c r="A306" s="2"/>
      <c r="B306" s="17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 x14ac:dyDescent="0.15">
      <c r="A307" s="2"/>
      <c r="B307" s="17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 x14ac:dyDescent="0.15">
      <c r="A308" s="2"/>
      <c r="B308" s="17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 x14ac:dyDescent="0.15">
      <c r="A309" s="2"/>
      <c r="B309" s="17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 x14ac:dyDescent="0.15">
      <c r="A310" s="2"/>
      <c r="B310" s="17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 x14ac:dyDescent="0.15">
      <c r="A311" s="2"/>
      <c r="B311" s="17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 x14ac:dyDescent="0.15">
      <c r="A312" s="2"/>
      <c r="B312" s="17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 x14ac:dyDescent="0.15">
      <c r="A313" s="2"/>
      <c r="B313" s="17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 x14ac:dyDescent="0.15">
      <c r="A314" s="2"/>
      <c r="B314" s="17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 x14ac:dyDescent="0.15">
      <c r="A315" s="2"/>
      <c r="B315" s="17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 x14ac:dyDescent="0.15">
      <c r="A316" s="2"/>
      <c r="B316" s="17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 x14ac:dyDescent="0.15">
      <c r="A317" s="2"/>
      <c r="B317" s="17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 x14ac:dyDescent="0.15">
      <c r="A318" s="2"/>
      <c r="B318" s="17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 x14ac:dyDescent="0.15">
      <c r="A319" s="2"/>
      <c r="B319" s="17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 x14ac:dyDescent="0.15">
      <c r="A320" s="2"/>
      <c r="B320" s="17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 x14ac:dyDescent="0.15">
      <c r="A321" s="2"/>
      <c r="B321" s="17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 x14ac:dyDescent="0.15">
      <c r="A322" s="2"/>
      <c r="B322" s="17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 x14ac:dyDescent="0.15">
      <c r="A323" s="2"/>
      <c r="B323" s="17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 x14ac:dyDescent="0.15">
      <c r="A324" s="2"/>
      <c r="B324" s="17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 x14ac:dyDescent="0.15">
      <c r="A325" s="2"/>
      <c r="B325" s="17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 x14ac:dyDescent="0.15">
      <c r="A326" s="2"/>
      <c r="B326" s="17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 x14ac:dyDescent="0.15">
      <c r="A327" s="2"/>
      <c r="B327" s="17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 x14ac:dyDescent="0.15">
      <c r="A328" s="2"/>
      <c r="B328" s="17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 x14ac:dyDescent="0.15">
      <c r="A329" s="2"/>
      <c r="B329" s="17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 x14ac:dyDescent="0.15">
      <c r="A330" s="2"/>
      <c r="B330" s="17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 x14ac:dyDescent="0.15">
      <c r="A331" s="2"/>
      <c r="B331" s="17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 x14ac:dyDescent="0.15">
      <c r="A332" s="2"/>
      <c r="B332" s="17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 x14ac:dyDescent="0.15">
      <c r="A333" s="2"/>
      <c r="B333" s="17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 x14ac:dyDescent="0.15">
      <c r="A334" s="2"/>
      <c r="B334" s="17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 x14ac:dyDescent="0.15">
      <c r="A335" s="2"/>
      <c r="B335" s="17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 x14ac:dyDescent="0.15">
      <c r="A336" s="2"/>
      <c r="B336" s="17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 x14ac:dyDescent="0.15">
      <c r="A337" s="2"/>
      <c r="B337" s="17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 x14ac:dyDescent="0.15">
      <c r="A338" s="2"/>
      <c r="B338" s="17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 x14ac:dyDescent="0.15">
      <c r="A339" s="2"/>
      <c r="B339" s="17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 x14ac:dyDescent="0.15">
      <c r="A340" s="2"/>
      <c r="B340" s="17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 x14ac:dyDescent="0.15">
      <c r="A341" s="2"/>
      <c r="B341" s="17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 x14ac:dyDescent="0.15">
      <c r="A342" s="2"/>
      <c r="B342" s="17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 x14ac:dyDescent="0.15">
      <c r="A343" s="2"/>
      <c r="B343" s="17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 x14ac:dyDescent="0.15">
      <c r="A344" s="2"/>
      <c r="B344" s="17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 x14ac:dyDescent="0.15">
      <c r="A345" s="2"/>
      <c r="B345" s="17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 x14ac:dyDescent="0.15">
      <c r="A346" s="2"/>
      <c r="B346" s="17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 x14ac:dyDescent="0.15">
      <c r="A347" s="2"/>
      <c r="B347" s="17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 x14ac:dyDescent="0.15">
      <c r="A348" s="2"/>
      <c r="B348" s="17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 x14ac:dyDescent="0.15">
      <c r="A349" s="2"/>
      <c r="B349" s="17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 x14ac:dyDescent="0.15">
      <c r="A350" s="2"/>
      <c r="B350" s="17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 x14ac:dyDescent="0.15">
      <c r="A351" s="2"/>
      <c r="B351" s="17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 x14ac:dyDescent="0.15">
      <c r="A352" s="2"/>
      <c r="B352" s="17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 x14ac:dyDescent="0.15">
      <c r="A353" s="2"/>
      <c r="B353" s="17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 x14ac:dyDescent="0.15">
      <c r="A354" s="2"/>
      <c r="B354" s="17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 x14ac:dyDescent="0.15">
      <c r="A355" s="2"/>
      <c r="B355" s="17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 x14ac:dyDescent="0.15">
      <c r="A356" s="2"/>
      <c r="B356" s="17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 x14ac:dyDescent="0.15">
      <c r="A357" s="2"/>
      <c r="B357" s="17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 x14ac:dyDescent="0.15">
      <c r="A358" s="2"/>
      <c r="B358" s="17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 x14ac:dyDescent="0.15">
      <c r="A359" s="2"/>
      <c r="B359" s="17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 x14ac:dyDescent="0.15">
      <c r="A360" s="2"/>
      <c r="B360" s="17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 x14ac:dyDescent="0.15">
      <c r="A361" s="2"/>
      <c r="B361" s="17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 x14ac:dyDescent="0.15">
      <c r="A362" s="2"/>
      <c r="B362" s="17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 x14ac:dyDescent="0.15">
      <c r="A363" s="2"/>
      <c r="B363" s="17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 x14ac:dyDescent="0.15">
      <c r="A364" s="2"/>
      <c r="B364" s="17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 x14ac:dyDescent="0.15">
      <c r="A365" s="2"/>
      <c r="B365" s="17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 x14ac:dyDescent="0.15">
      <c r="A366" s="2"/>
      <c r="B366" s="17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 x14ac:dyDescent="0.15">
      <c r="A367" s="2"/>
      <c r="B367" s="17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 x14ac:dyDescent="0.15">
      <c r="A368" s="2"/>
      <c r="B368" s="17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 x14ac:dyDescent="0.15">
      <c r="A369" s="2"/>
      <c r="B369" s="17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 x14ac:dyDescent="0.15">
      <c r="A370" s="2"/>
      <c r="B370" s="17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 x14ac:dyDescent="0.15">
      <c r="A371" s="2"/>
      <c r="B371" s="17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 x14ac:dyDescent="0.15">
      <c r="A372" s="2"/>
      <c r="B372" s="17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 x14ac:dyDescent="0.15">
      <c r="A373" s="2"/>
      <c r="B373" s="17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 x14ac:dyDescent="0.15">
      <c r="A374" s="2"/>
      <c r="B374" s="17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 x14ac:dyDescent="0.15">
      <c r="A375" s="2"/>
      <c r="B375" s="17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 x14ac:dyDescent="0.15">
      <c r="A376" s="2"/>
      <c r="B376" s="17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 x14ac:dyDescent="0.15">
      <c r="A377" s="2"/>
      <c r="B377" s="17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 x14ac:dyDescent="0.15">
      <c r="A378" s="2"/>
      <c r="B378" s="17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 x14ac:dyDescent="0.15">
      <c r="A379" s="2"/>
      <c r="B379" s="17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 x14ac:dyDescent="0.15">
      <c r="A380" s="2"/>
      <c r="B380" s="17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 x14ac:dyDescent="0.15">
      <c r="A381" s="2"/>
      <c r="B381" s="17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 x14ac:dyDescent="0.15">
      <c r="A382" s="2"/>
      <c r="B382" s="17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 x14ac:dyDescent="0.15">
      <c r="A383" s="2"/>
      <c r="B383" s="17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 x14ac:dyDescent="0.15">
      <c r="A384" s="2"/>
      <c r="B384" s="17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 x14ac:dyDescent="0.15">
      <c r="A385" s="2"/>
      <c r="B385" s="17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 x14ac:dyDescent="0.15">
      <c r="A386" s="2"/>
      <c r="B386" s="17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 x14ac:dyDescent="0.15">
      <c r="A387" s="2"/>
      <c r="B387" s="17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 x14ac:dyDescent="0.15">
      <c r="A388" s="2"/>
      <c r="B388" s="17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 x14ac:dyDescent="0.15">
      <c r="A389" s="2"/>
      <c r="B389" s="17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 x14ac:dyDescent="0.15">
      <c r="A390" s="2"/>
      <c r="B390" s="17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 x14ac:dyDescent="0.15">
      <c r="A391" s="2"/>
      <c r="B391" s="17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 x14ac:dyDescent="0.15">
      <c r="A392" s="2"/>
      <c r="B392" s="17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 x14ac:dyDescent="0.15">
      <c r="A393" s="2"/>
      <c r="B393" s="17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 x14ac:dyDescent="0.15">
      <c r="A394" s="2"/>
      <c r="B394" s="17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 x14ac:dyDescent="0.15">
      <c r="A395" s="2"/>
      <c r="B395" s="17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 x14ac:dyDescent="0.15">
      <c r="A396" s="2"/>
      <c r="B396" s="17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 x14ac:dyDescent="0.15">
      <c r="A397" s="2"/>
      <c r="B397" s="17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 x14ac:dyDescent="0.15">
      <c r="A398" s="2"/>
      <c r="B398" s="17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 x14ac:dyDescent="0.15">
      <c r="A399" s="2"/>
      <c r="B399" s="17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 x14ac:dyDescent="0.15">
      <c r="A400" s="2"/>
      <c r="B400" s="17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 x14ac:dyDescent="0.15">
      <c r="A401" s="2"/>
      <c r="B401" s="17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 x14ac:dyDescent="0.15">
      <c r="A402" s="2"/>
      <c r="B402" s="17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 x14ac:dyDescent="0.15">
      <c r="A403" s="2"/>
      <c r="B403" s="17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 x14ac:dyDescent="0.15">
      <c r="A404" s="2"/>
      <c r="B404" s="17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 x14ac:dyDescent="0.15">
      <c r="A405" s="2"/>
      <c r="B405" s="17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 x14ac:dyDescent="0.15">
      <c r="A406" s="2"/>
      <c r="B406" s="17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 x14ac:dyDescent="0.15">
      <c r="A407" s="2"/>
      <c r="B407" s="17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 x14ac:dyDescent="0.15">
      <c r="A408" s="2"/>
      <c r="B408" s="17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 x14ac:dyDescent="0.15">
      <c r="A409" s="2"/>
      <c r="B409" s="17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 x14ac:dyDescent="0.15">
      <c r="A410" s="2"/>
      <c r="B410" s="17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 x14ac:dyDescent="0.15">
      <c r="A411" s="2"/>
      <c r="B411" s="17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 x14ac:dyDescent="0.15">
      <c r="A412" s="2"/>
      <c r="B412" s="17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 x14ac:dyDescent="0.15">
      <c r="A413" s="2"/>
      <c r="B413" s="17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 x14ac:dyDescent="0.15">
      <c r="A414" s="2"/>
      <c r="B414" s="17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 x14ac:dyDescent="0.15">
      <c r="A415" s="2"/>
      <c r="B415" s="17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 x14ac:dyDescent="0.15">
      <c r="A416" s="2"/>
      <c r="B416" s="17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 x14ac:dyDescent="0.15">
      <c r="A417" s="2"/>
      <c r="B417" s="17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 x14ac:dyDescent="0.15">
      <c r="A418" s="2"/>
      <c r="B418" s="17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 x14ac:dyDescent="0.15">
      <c r="A419" s="2"/>
      <c r="B419" s="17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 x14ac:dyDescent="0.15">
      <c r="A420" s="2"/>
      <c r="B420" s="17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 x14ac:dyDescent="0.15">
      <c r="A421" s="2"/>
      <c r="B421" s="17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 x14ac:dyDescent="0.15">
      <c r="A422" s="2"/>
      <c r="B422" s="17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 x14ac:dyDescent="0.15">
      <c r="A423" s="2"/>
      <c r="B423" s="17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 x14ac:dyDescent="0.15">
      <c r="A424" s="2"/>
      <c r="B424" s="17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 x14ac:dyDescent="0.15">
      <c r="A425" s="2"/>
      <c r="B425" s="17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 x14ac:dyDescent="0.15">
      <c r="A426" s="2"/>
      <c r="B426" s="17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 x14ac:dyDescent="0.15">
      <c r="A427" s="2"/>
      <c r="B427" s="17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 x14ac:dyDescent="0.15">
      <c r="A428" s="2"/>
      <c r="B428" s="17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 x14ac:dyDescent="0.15">
      <c r="A429" s="2"/>
      <c r="B429" s="17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 x14ac:dyDescent="0.15">
      <c r="A430" s="2"/>
      <c r="B430" s="17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 x14ac:dyDescent="0.15">
      <c r="A431" s="2"/>
      <c r="B431" s="17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 x14ac:dyDescent="0.15">
      <c r="A432" s="2"/>
      <c r="B432" s="17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 x14ac:dyDescent="0.15">
      <c r="A433" s="2"/>
      <c r="B433" s="17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 x14ac:dyDescent="0.15">
      <c r="A434" s="2"/>
      <c r="B434" s="17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 x14ac:dyDescent="0.15">
      <c r="A435" s="2"/>
      <c r="B435" s="17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 x14ac:dyDescent="0.15">
      <c r="A436" s="2"/>
      <c r="B436" s="17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 x14ac:dyDescent="0.15">
      <c r="A437" s="2"/>
      <c r="B437" s="17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 x14ac:dyDescent="0.15">
      <c r="A438" s="2"/>
      <c r="B438" s="17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 x14ac:dyDescent="0.15">
      <c r="A439" s="2"/>
      <c r="B439" s="17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 x14ac:dyDescent="0.15">
      <c r="A440" s="2"/>
      <c r="B440" s="17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 x14ac:dyDescent="0.15">
      <c r="A441" s="2"/>
      <c r="B441" s="17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 x14ac:dyDescent="0.15">
      <c r="A442" s="2"/>
      <c r="B442" s="17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 x14ac:dyDescent="0.15">
      <c r="A443" s="2"/>
      <c r="B443" s="17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 x14ac:dyDescent="0.15">
      <c r="A444" s="2"/>
      <c r="B444" s="17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 x14ac:dyDescent="0.15">
      <c r="A445" s="2"/>
      <c r="B445" s="17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 x14ac:dyDescent="0.15">
      <c r="A446" s="2"/>
      <c r="B446" s="17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 x14ac:dyDescent="0.15">
      <c r="A447" s="2"/>
      <c r="B447" s="17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 x14ac:dyDescent="0.15">
      <c r="A448" s="2"/>
      <c r="B448" s="17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 x14ac:dyDescent="0.15">
      <c r="A449" s="2"/>
      <c r="B449" s="17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 x14ac:dyDescent="0.15">
      <c r="A450" s="2"/>
      <c r="B450" s="17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 x14ac:dyDescent="0.15">
      <c r="A451" s="2"/>
      <c r="B451" s="17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 x14ac:dyDescent="0.15">
      <c r="A452" s="2"/>
      <c r="B452" s="17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 x14ac:dyDescent="0.15">
      <c r="A453" s="2"/>
      <c r="B453" s="17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 x14ac:dyDescent="0.15">
      <c r="A454" s="2"/>
      <c r="B454" s="17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 x14ac:dyDescent="0.15">
      <c r="A455" s="2"/>
      <c r="B455" s="17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 x14ac:dyDescent="0.15">
      <c r="A456" s="2"/>
      <c r="B456" s="17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 x14ac:dyDescent="0.15">
      <c r="A457" s="2"/>
      <c r="B457" s="17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 x14ac:dyDescent="0.15">
      <c r="A458" s="2"/>
      <c r="B458" s="17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 x14ac:dyDescent="0.15">
      <c r="A459" s="2"/>
      <c r="B459" s="17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 x14ac:dyDescent="0.15">
      <c r="A460" s="2"/>
      <c r="B460" s="17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 x14ac:dyDescent="0.15">
      <c r="A461" s="2"/>
      <c r="B461" s="17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 x14ac:dyDescent="0.15">
      <c r="A462" s="2"/>
      <c r="B462" s="17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 x14ac:dyDescent="0.15">
      <c r="A463" s="2"/>
      <c r="B463" s="17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 x14ac:dyDescent="0.15">
      <c r="A464" s="2"/>
      <c r="B464" s="17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 x14ac:dyDescent="0.15">
      <c r="A465" s="2"/>
      <c r="B465" s="17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 x14ac:dyDescent="0.15">
      <c r="A466" s="2"/>
      <c r="B466" s="17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 x14ac:dyDescent="0.15">
      <c r="A467" s="2"/>
      <c r="B467" s="17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 x14ac:dyDescent="0.15">
      <c r="A468" s="2"/>
      <c r="B468" s="17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 x14ac:dyDescent="0.15">
      <c r="A469" s="2"/>
      <c r="B469" s="17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 x14ac:dyDescent="0.15">
      <c r="A470" s="2"/>
      <c r="B470" s="17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 x14ac:dyDescent="0.15">
      <c r="A471" s="2"/>
      <c r="B471" s="17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 x14ac:dyDescent="0.15">
      <c r="A472" s="2"/>
      <c r="B472" s="17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 x14ac:dyDescent="0.15">
      <c r="A473" s="2"/>
      <c r="B473" s="17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 x14ac:dyDescent="0.15">
      <c r="A474" s="2"/>
      <c r="B474" s="17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 x14ac:dyDescent="0.15">
      <c r="A475" s="2"/>
      <c r="B475" s="17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 x14ac:dyDescent="0.15">
      <c r="A476" s="2"/>
      <c r="B476" s="17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 x14ac:dyDescent="0.15">
      <c r="A477" s="2"/>
      <c r="B477" s="17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 x14ac:dyDescent="0.15">
      <c r="A478" s="2"/>
      <c r="B478" s="17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 x14ac:dyDescent="0.15">
      <c r="A479" s="2"/>
      <c r="B479" s="17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 x14ac:dyDescent="0.15">
      <c r="A480" s="2"/>
      <c r="B480" s="17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 x14ac:dyDescent="0.15">
      <c r="A481" s="2"/>
      <c r="B481" s="17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 x14ac:dyDescent="0.15">
      <c r="A482" s="2"/>
      <c r="B482" s="17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 x14ac:dyDescent="0.15">
      <c r="A483" s="2"/>
      <c r="B483" s="17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 x14ac:dyDescent="0.15">
      <c r="A484" s="2"/>
      <c r="B484" s="17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 x14ac:dyDescent="0.15">
      <c r="A485" s="2"/>
      <c r="B485" s="17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 x14ac:dyDescent="0.15">
      <c r="A486" s="2"/>
      <c r="B486" s="17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 x14ac:dyDescent="0.15">
      <c r="A487" s="2"/>
      <c r="B487" s="17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 x14ac:dyDescent="0.15">
      <c r="A488" s="2"/>
      <c r="B488" s="17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 x14ac:dyDescent="0.15">
      <c r="A489" s="2"/>
      <c r="B489" s="17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 x14ac:dyDescent="0.15">
      <c r="A490" s="2"/>
      <c r="B490" s="17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 x14ac:dyDescent="0.15">
      <c r="A491" s="2"/>
      <c r="B491" s="17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 x14ac:dyDescent="0.15">
      <c r="A492" s="2"/>
      <c r="B492" s="17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 x14ac:dyDescent="0.15">
      <c r="A493" s="2"/>
      <c r="B493" s="17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 x14ac:dyDescent="0.15">
      <c r="A494" s="2"/>
      <c r="B494" s="17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 x14ac:dyDescent="0.15">
      <c r="A495" s="2"/>
      <c r="B495" s="17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 x14ac:dyDescent="0.15">
      <c r="A496" s="2"/>
      <c r="B496" s="17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 x14ac:dyDescent="0.15">
      <c r="A497" s="2"/>
      <c r="B497" s="17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 x14ac:dyDescent="0.15">
      <c r="A498" s="2"/>
      <c r="B498" s="17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 x14ac:dyDescent="0.15">
      <c r="A499" s="2"/>
      <c r="B499" s="17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 x14ac:dyDescent="0.15">
      <c r="A500" s="2"/>
      <c r="B500" s="17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 x14ac:dyDescent="0.15">
      <c r="A501" s="2"/>
      <c r="B501" s="17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 x14ac:dyDescent="0.15">
      <c r="A502" s="2"/>
      <c r="B502" s="17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 x14ac:dyDescent="0.15">
      <c r="A503" s="2"/>
      <c r="B503" s="17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 x14ac:dyDescent="0.15">
      <c r="A504" s="2"/>
      <c r="B504" s="17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 x14ac:dyDescent="0.15">
      <c r="A505" s="2"/>
      <c r="B505" s="17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 x14ac:dyDescent="0.15">
      <c r="A506" s="2"/>
      <c r="B506" s="17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 x14ac:dyDescent="0.15">
      <c r="A507" s="2"/>
      <c r="B507" s="17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 x14ac:dyDescent="0.15">
      <c r="A508" s="2"/>
      <c r="B508" s="17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 x14ac:dyDescent="0.15">
      <c r="A509" s="2"/>
      <c r="B509" s="17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 x14ac:dyDescent="0.15">
      <c r="A510" s="2"/>
      <c r="B510" s="17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 x14ac:dyDescent="0.15">
      <c r="A511" s="2"/>
      <c r="B511" s="17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 x14ac:dyDescent="0.15">
      <c r="A512" s="2"/>
      <c r="B512" s="17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 x14ac:dyDescent="0.15">
      <c r="A513" s="2"/>
      <c r="B513" s="17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 x14ac:dyDescent="0.15">
      <c r="A514" s="2"/>
      <c r="B514" s="17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 x14ac:dyDescent="0.15">
      <c r="A515" s="2"/>
      <c r="B515" s="17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 x14ac:dyDescent="0.15">
      <c r="A516" s="2"/>
      <c r="B516" s="17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 x14ac:dyDescent="0.15">
      <c r="A517" s="2"/>
      <c r="B517" s="17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 x14ac:dyDescent="0.15">
      <c r="A518" s="2"/>
      <c r="B518" s="17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 x14ac:dyDescent="0.15">
      <c r="A519" s="2"/>
      <c r="B519" s="17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 x14ac:dyDescent="0.15">
      <c r="A520" s="2"/>
      <c r="B520" s="17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 x14ac:dyDescent="0.15">
      <c r="A521" s="2"/>
      <c r="B521" s="17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 x14ac:dyDescent="0.15">
      <c r="A522" s="2"/>
      <c r="B522" s="17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 x14ac:dyDescent="0.15">
      <c r="A523" s="2"/>
      <c r="B523" s="17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 x14ac:dyDescent="0.15">
      <c r="A524" s="2"/>
      <c r="B524" s="17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 x14ac:dyDescent="0.15">
      <c r="A525" s="2"/>
      <c r="B525" s="17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 x14ac:dyDescent="0.15">
      <c r="A526" s="2"/>
      <c r="B526" s="17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 x14ac:dyDescent="0.15">
      <c r="A527" s="2"/>
      <c r="B527" s="17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 x14ac:dyDescent="0.15">
      <c r="A528" s="2"/>
      <c r="B528" s="17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 x14ac:dyDescent="0.15">
      <c r="A529" s="2"/>
      <c r="B529" s="17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 x14ac:dyDescent="0.15">
      <c r="A530" s="2"/>
      <c r="B530" s="17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 x14ac:dyDescent="0.15">
      <c r="A531" s="2"/>
      <c r="B531" s="17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 x14ac:dyDescent="0.15">
      <c r="A532" s="2"/>
      <c r="B532" s="17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 x14ac:dyDescent="0.15">
      <c r="A533" s="2"/>
      <c r="B533" s="17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 x14ac:dyDescent="0.15">
      <c r="A534" s="2"/>
      <c r="B534" s="17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 x14ac:dyDescent="0.15">
      <c r="A535" s="2"/>
      <c r="B535" s="17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 x14ac:dyDescent="0.15">
      <c r="A536" s="2"/>
      <c r="B536" s="17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 x14ac:dyDescent="0.15">
      <c r="A537" s="2"/>
      <c r="B537" s="17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 x14ac:dyDescent="0.15">
      <c r="A538" s="2"/>
      <c r="B538" s="17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 x14ac:dyDescent="0.15">
      <c r="A539" s="2"/>
      <c r="B539" s="17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 x14ac:dyDescent="0.15">
      <c r="A540" s="2"/>
      <c r="B540" s="17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 x14ac:dyDescent="0.15">
      <c r="A541" s="2"/>
      <c r="B541" s="17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 x14ac:dyDescent="0.15">
      <c r="A542" s="2"/>
      <c r="B542" s="17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 x14ac:dyDescent="0.15">
      <c r="A543" s="2"/>
      <c r="B543" s="17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 x14ac:dyDescent="0.15">
      <c r="A544" s="2"/>
      <c r="B544" s="17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 x14ac:dyDescent="0.15">
      <c r="A545" s="2"/>
      <c r="B545" s="17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 x14ac:dyDescent="0.15">
      <c r="A546" s="2"/>
      <c r="B546" s="17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 x14ac:dyDescent="0.15">
      <c r="A547" s="2"/>
      <c r="B547" s="17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 x14ac:dyDescent="0.15">
      <c r="A548" s="2"/>
      <c r="B548" s="17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 x14ac:dyDescent="0.15">
      <c r="A549" s="2"/>
      <c r="B549" s="17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 x14ac:dyDescent="0.15">
      <c r="A550" s="2"/>
      <c r="B550" s="17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 x14ac:dyDescent="0.15">
      <c r="A551" s="2"/>
      <c r="B551" s="17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 x14ac:dyDescent="0.15">
      <c r="A552" s="2"/>
      <c r="B552" s="17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 x14ac:dyDescent="0.15">
      <c r="A553" s="2"/>
      <c r="B553" s="17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 x14ac:dyDescent="0.15">
      <c r="A554" s="2"/>
      <c r="B554" s="17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 x14ac:dyDescent="0.15">
      <c r="A555" s="2"/>
      <c r="B555" s="17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 x14ac:dyDescent="0.15">
      <c r="A556" s="2"/>
      <c r="B556" s="17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 x14ac:dyDescent="0.15">
      <c r="A557" s="2"/>
      <c r="B557" s="17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 x14ac:dyDescent="0.15">
      <c r="A558" s="2"/>
      <c r="B558" s="17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 x14ac:dyDescent="0.15">
      <c r="A559" s="2"/>
      <c r="B559" s="17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 x14ac:dyDescent="0.15">
      <c r="A560" s="2"/>
      <c r="B560" s="17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 x14ac:dyDescent="0.15">
      <c r="A561" s="2"/>
      <c r="B561" s="17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 x14ac:dyDescent="0.15">
      <c r="A562" s="2"/>
      <c r="B562" s="17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 x14ac:dyDescent="0.15">
      <c r="A563" s="2"/>
      <c r="B563" s="17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 x14ac:dyDescent="0.15">
      <c r="A564" s="2"/>
      <c r="B564" s="17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 x14ac:dyDescent="0.15">
      <c r="A565" s="2"/>
      <c r="B565" s="17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 x14ac:dyDescent="0.15">
      <c r="A566" s="2"/>
      <c r="B566" s="17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 x14ac:dyDescent="0.15">
      <c r="A567" s="2"/>
      <c r="B567" s="17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 x14ac:dyDescent="0.15">
      <c r="A568" s="2"/>
      <c r="B568" s="17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 x14ac:dyDescent="0.15">
      <c r="A569" s="2"/>
      <c r="B569" s="17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 x14ac:dyDescent="0.15">
      <c r="A570" s="2"/>
      <c r="B570" s="17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 x14ac:dyDescent="0.15">
      <c r="A571" s="2"/>
      <c r="B571" s="17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 x14ac:dyDescent="0.15">
      <c r="A572" s="2"/>
      <c r="B572" s="17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 x14ac:dyDescent="0.15">
      <c r="A573" s="2"/>
      <c r="B573" s="17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 x14ac:dyDescent="0.15">
      <c r="A574" s="2"/>
      <c r="B574" s="17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 x14ac:dyDescent="0.15">
      <c r="A575" s="2"/>
      <c r="B575" s="17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 x14ac:dyDescent="0.15">
      <c r="A576" s="2"/>
      <c r="B576" s="17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 x14ac:dyDescent="0.15">
      <c r="A577" s="2"/>
      <c r="B577" s="17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 x14ac:dyDescent="0.15">
      <c r="A578" s="2"/>
      <c r="B578" s="17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 x14ac:dyDescent="0.15">
      <c r="A579" s="2"/>
      <c r="B579" s="17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 x14ac:dyDescent="0.15">
      <c r="A580" s="2"/>
      <c r="B580" s="17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 x14ac:dyDescent="0.15">
      <c r="A581" s="2"/>
      <c r="B581" s="17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 x14ac:dyDescent="0.15">
      <c r="A582" s="2"/>
      <c r="B582" s="17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 x14ac:dyDescent="0.15">
      <c r="A583" s="2"/>
      <c r="B583" s="17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 x14ac:dyDescent="0.15">
      <c r="A584" s="2"/>
      <c r="B584" s="17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 x14ac:dyDescent="0.15">
      <c r="A585" s="2"/>
      <c r="B585" s="17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 x14ac:dyDescent="0.15">
      <c r="A586" s="2"/>
      <c r="B586" s="17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 x14ac:dyDescent="0.15">
      <c r="A587" s="2"/>
      <c r="B587" s="17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 x14ac:dyDescent="0.15">
      <c r="A588" s="2"/>
      <c r="B588" s="17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 x14ac:dyDescent="0.15">
      <c r="A589" s="2"/>
      <c r="B589" s="17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 x14ac:dyDescent="0.15">
      <c r="A590" s="2"/>
      <c r="B590" s="17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 x14ac:dyDescent="0.15">
      <c r="A591" s="2"/>
      <c r="B591" s="17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 x14ac:dyDescent="0.15">
      <c r="A592" s="2"/>
      <c r="B592" s="17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 x14ac:dyDescent="0.15">
      <c r="A593" s="2"/>
      <c r="B593" s="17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 x14ac:dyDescent="0.15">
      <c r="A594" s="2"/>
      <c r="B594" s="17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 x14ac:dyDescent="0.15">
      <c r="A595" s="2"/>
      <c r="B595" s="17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 x14ac:dyDescent="0.15">
      <c r="A596" s="2"/>
      <c r="B596" s="17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 x14ac:dyDescent="0.15">
      <c r="A597" s="2"/>
      <c r="B597" s="17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 x14ac:dyDescent="0.15">
      <c r="A598" s="2"/>
      <c r="B598" s="17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 x14ac:dyDescent="0.15">
      <c r="A599" s="2"/>
      <c r="B599" s="17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 x14ac:dyDescent="0.15">
      <c r="A600" s="2"/>
      <c r="B600" s="17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 x14ac:dyDescent="0.15">
      <c r="A601" s="2"/>
      <c r="B601" s="17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 x14ac:dyDescent="0.15">
      <c r="A602" s="2"/>
      <c r="B602" s="17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 x14ac:dyDescent="0.15">
      <c r="A603" s="2"/>
      <c r="B603" s="17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 x14ac:dyDescent="0.15">
      <c r="A604" s="2"/>
      <c r="B604" s="17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 x14ac:dyDescent="0.15">
      <c r="A605" s="2"/>
      <c r="B605" s="17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 x14ac:dyDescent="0.15">
      <c r="A606" s="2"/>
      <c r="B606" s="17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 x14ac:dyDescent="0.15">
      <c r="A607" s="2"/>
      <c r="B607" s="17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 x14ac:dyDescent="0.15">
      <c r="A608" s="2"/>
      <c r="B608" s="17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 x14ac:dyDescent="0.15">
      <c r="A609" s="2"/>
      <c r="B609" s="17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 x14ac:dyDescent="0.15">
      <c r="A610" s="2"/>
      <c r="B610" s="17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 x14ac:dyDescent="0.15">
      <c r="A611" s="2"/>
      <c r="B611" s="17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 x14ac:dyDescent="0.15">
      <c r="A612" s="2"/>
      <c r="B612" s="17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 x14ac:dyDescent="0.15">
      <c r="A613" s="2"/>
      <c r="B613" s="17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 x14ac:dyDescent="0.15">
      <c r="A614" s="2"/>
      <c r="B614" s="17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 x14ac:dyDescent="0.15">
      <c r="A615" s="2"/>
      <c r="B615" s="17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 x14ac:dyDescent="0.15">
      <c r="A616" s="2"/>
      <c r="B616" s="17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 x14ac:dyDescent="0.15">
      <c r="A617" s="2"/>
      <c r="B617" s="17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 x14ac:dyDescent="0.15">
      <c r="A618" s="2"/>
      <c r="B618" s="17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 x14ac:dyDescent="0.15">
      <c r="A619" s="2"/>
      <c r="B619" s="17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 x14ac:dyDescent="0.15">
      <c r="A620" s="2"/>
      <c r="B620" s="17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 x14ac:dyDescent="0.15">
      <c r="A621" s="2"/>
      <c r="B621" s="17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 x14ac:dyDescent="0.15">
      <c r="A622" s="2"/>
      <c r="B622" s="17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 x14ac:dyDescent="0.15">
      <c r="A623" s="2"/>
      <c r="B623" s="17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 x14ac:dyDescent="0.15">
      <c r="A624" s="2"/>
      <c r="B624" s="17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 x14ac:dyDescent="0.15">
      <c r="A625" s="2"/>
      <c r="B625" s="17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 x14ac:dyDescent="0.15">
      <c r="A626" s="2"/>
      <c r="B626" s="17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 x14ac:dyDescent="0.15">
      <c r="A627" s="2"/>
      <c r="B627" s="17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 x14ac:dyDescent="0.15">
      <c r="A628" s="2"/>
      <c r="B628" s="17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 x14ac:dyDescent="0.15">
      <c r="A629" s="2"/>
      <c r="B629" s="17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 x14ac:dyDescent="0.15">
      <c r="A630" s="2"/>
      <c r="B630" s="17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 x14ac:dyDescent="0.15">
      <c r="A631" s="2"/>
      <c r="B631" s="17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 x14ac:dyDescent="0.15">
      <c r="A632" s="2"/>
      <c r="B632" s="17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 x14ac:dyDescent="0.15">
      <c r="A633" s="2"/>
      <c r="B633" s="17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 x14ac:dyDescent="0.15">
      <c r="A634" s="2"/>
      <c r="B634" s="17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 x14ac:dyDescent="0.15">
      <c r="A635" s="2"/>
      <c r="B635" s="17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 x14ac:dyDescent="0.15">
      <c r="A636" s="2"/>
      <c r="B636" s="17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 x14ac:dyDescent="0.15">
      <c r="A637" s="2"/>
      <c r="B637" s="17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 x14ac:dyDescent="0.15">
      <c r="A638" s="2"/>
      <c r="B638" s="17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 x14ac:dyDescent="0.15">
      <c r="A639" s="2"/>
      <c r="B639" s="17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 x14ac:dyDescent="0.15">
      <c r="A640" s="2"/>
      <c r="B640" s="17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 x14ac:dyDescent="0.15">
      <c r="A641" s="2"/>
      <c r="B641" s="17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 x14ac:dyDescent="0.15">
      <c r="A642" s="2"/>
      <c r="B642" s="17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 x14ac:dyDescent="0.15">
      <c r="A643" s="2"/>
      <c r="B643" s="17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 x14ac:dyDescent="0.15">
      <c r="A644" s="2"/>
      <c r="B644" s="17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 x14ac:dyDescent="0.15">
      <c r="A645" s="2"/>
      <c r="B645" s="17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 x14ac:dyDescent="0.15">
      <c r="A646" s="2"/>
      <c r="B646" s="17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 x14ac:dyDescent="0.15">
      <c r="A647" s="2"/>
      <c r="B647" s="17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 x14ac:dyDescent="0.15">
      <c r="A648" s="2"/>
      <c r="B648" s="17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 x14ac:dyDescent="0.15">
      <c r="A649" s="2"/>
      <c r="B649" s="17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 x14ac:dyDescent="0.15">
      <c r="A650" s="2"/>
      <c r="B650" s="17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 x14ac:dyDescent="0.15">
      <c r="A651" s="2"/>
      <c r="B651" s="17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 x14ac:dyDescent="0.15">
      <c r="A652" s="2"/>
      <c r="B652" s="17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 x14ac:dyDescent="0.15">
      <c r="A653" s="2"/>
      <c r="B653" s="17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 x14ac:dyDescent="0.15">
      <c r="A654" s="2"/>
      <c r="B654" s="17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 x14ac:dyDescent="0.15">
      <c r="A655" s="2"/>
      <c r="B655" s="17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 x14ac:dyDescent="0.15">
      <c r="A656" s="2"/>
      <c r="B656" s="17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 x14ac:dyDescent="0.15">
      <c r="A657" s="2"/>
      <c r="B657" s="17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 x14ac:dyDescent="0.15">
      <c r="A658" s="2"/>
      <c r="B658" s="17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 x14ac:dyDescent="0.15">
      <c r="A659" s="2"/>
      <c r="B659" s="17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 x14ac:dyDescent="0.15">
      <c r="A660" s="2"/>
      <c r="B660" s="17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 x14ac:dyDescent="0.15">
      <c r="A661" s="2"/>
      <c r="B661" s="17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 x14ac:dyDescent="0.15">
      <c r="A662" s="2"/>
      <c r="B662" s="17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 x14ac:dyDescent="0.15">
      <c r="A663" s="2"/>
      <c r="B663" s="17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 x14ac:dyDescent="0.15">
      <c r="A664" s="2"/>
      <c r="B664" s="17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 x14ac:dyDescent="0.15">
      <c r="A665" s="2"/>
      <c r="B665" s="17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 x14ac:dyDescent="0.15">
      <c r="A666" s="2"/>
      <c r="B666" s="17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 x14ac:dyDescent="0.15">
      <c r="A667" s="2"/>
      <c r="B667" s="17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 x14ac:dyDescent="0.15">
      <c r="A668" s="2"/>
      <c r="B668" s="17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 x14ac:dyDescent="0.15">
      <c r="A669" s="2"/>
      <c r="B669" s="17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 x14ac:dyDescent="0.15">
      <c r="A670" s="2"/>
      <c r="B670" s="17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 x14ac:dyDescent="0.15">
      <c r="A671" s="2"/>
      <c r="B671" s="17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 x14ac:dyDescent="0.15">
      <c r="A672" s="2"/>
      <c r="B672" s="17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 x14ac:dyDescent="0.15">
      <c r="A673" s="2"/>
      <c r="B673" s="17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 x14ac:dyDescent="0.15">
      <c r="A674" s="2"/>
      <c r="B674" s="17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 x14ac:dyDescent="0.15">
      <c r="A675" s="2"/>
      <c r="B675" s="17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 x14ac:dyDescent="0.15">
      <c r="A676" s="2"/>
      <c r="B676" s="17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 x14ac:dyDescent="0.15">
      <c r="A677" s="2"/>
      <c r="B677" s="17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 x14ac:dyDescent="0.15">
      <c r="A678" s="2"/>
      <c r="B678" s="17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 x14ac:dyDescent="0.15">
      <c r="A679" s="2"/>
      <c r="B679" s="17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 x14ac:dyDescent="0.15">
      <c r="A680" s="2"/>
      <c r="B680" s="17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 x14ac:dyDescent="0.15">
      <c r="A681" s="2"/>
      <c r="B681" s="17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 x14ac:dyDescent="0.15">
      <c r="A682" s="2"/>
      <c r="B682" s="17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 x14ac:dyDescent="0.15">
      <c r="A683" s="2"/>
      <c r="B683" s="17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 x14ac:dyDescent="0.15">
      <c r="A684" s="2"/>
      <c r="B684" s="17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 x14ac:dyDescent="0.15">
      <c r="A685" s="2"/>
      <c r="B685" s="17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 x14ac:dyDescent="0.15">
      <c r="A686" s="2"/>
      <c r="B686" s="17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 x14ac:dyDescent="0.15">
      <c r="A687" s="2"/>
      <c r="B687" s="17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 x14ac:dyDescent="0.15">
      <c r="A688" s="2"/>
      <c r="B688" s="17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 x14ac:dyDescent="0.15">
      <c r="A689" s="2"/>
      <c r="B689" s="17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 x14ac:dyDescent="0.15">
      <c r="A690" s="2"/>
      <c r="B690" s="17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 x14ac:dyDescent="0.15">
      <c r="A691" s="2"/>
      <c r="B691" s="17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 x14ac:dyDescent="0.15">
      <c r="A692" s="2"/>
      <c r="B692" s="17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 x14ac:dyDescent="0.15">
      <c r="A693" s="2"/>
      <c r="B693" s="17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 x14ac:dyDescent="0.15">
      <c r="A694" s="2"/>
      <c r="B694" s="17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 x14ac:dyDescent="0.15">
      <c r="A695" s="2"/>
      <c r="B695" s="17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 x14ac:dyDescent="0.15">
      <c r="A696" s="2"/>
      <c r="B696" s="17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 x14ac:dyDescent="0.15">
      <c r="A697" s="2"/>
      <c r="B697" s="17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 x14ac:dyDescent="0.15">
      <c r="A698" s="2"/>
      <c r="B698" s="17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 x14ac:dyDescent="0.15">
      <c r="A699" s="2"/>
      <c r="B699" s="17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 x14ac:dyDescent="0.15">
      <c r="A700" s="2"/>
      <c r="B700" s="17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 x14ac:dyDescent="0.15">
      <c r="A701" s="2"/>
      <c r="B701" s="17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 x14ac:dyDescent="0.15">
      <c r="A702" s="2"/>
      <c r="B702" s="17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 x14ac:dyDescent="0.15">
      <c r="A703" s="2"/>
      <c r="B703" s="17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 x14ac:dyDescent="0.15">
      <c r="A704" s="2"/>
      <c r="B704" s="17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 x14ac:dyDescent="0.15">
      <c r="A705" s="2"/>
      <c r="B705" s="17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 x14ac:dyDescent="0.15">
      <c r="A706" s="2"/>
      <c r="B706" s="17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 x14ac:dyDescent="0.15">
      <c r="A707" s="2"/>
      <c r="B707" s="17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 x14ac:dyDescent="0.15">
      <c r="A708" s="2"/>
      <c r="B708" s="17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 x14ac:dyDescent="0.15">
      <c r="A709" s="2"/>
      <c r="B709" s="17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 x14ac:dyDescent="0.15">
      <c r="A710" s="2"/>
      <c r="B710" s="17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 x14ac:dyDescent="0.15">
      <c r="A711" s="2"/>
      <c r="B711" s="17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 x14ac:dyDescent="0.15">
      <c r="A712" s="2"/>
      <c r="B712" s="17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 x14ac:dyDescent="0.15">
      <c r="A713" s="2"/>
      <c r="B713" s="17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 x14ac:dyDescent="0.15">
      <c r="A714" s="2"/>
      <c r="B714" s="17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 x14ac:dyDescent="0.15">
      <c r="A715" s="2"/>
      <c r="B715" s="17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 x14ac:dyDescent="0.15">
      <c r="A716" s="2"/>
      <c r="B716" s="17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 x14ac:dyDescent="0.15">
      <c r="A717" s="2"/>
      <c r="B717" s="17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 x14ac:dyDescent="0.15">
      <c r="A718" s="2"/>
      <c r="B718" s="17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 x14ac:dyDescent="0.15">
      <c r="A719" s="2"/>
      <c r="B719" s="17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 x14ac:dyDescent="0.15">
      <c r="A720" s="2"/>
      <c r="B720" s="17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 x14ac:dyDescent="0.15">
      <c r="A721" s="2"/>
      <c r="B721" s="17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 x14ac:dyDescent="0.15">
      <c r="A722" s="2"/>
      <c r="B722" s="17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 x14ac:dyDescent="0.15">
      <c r="A723" s="2"/>
      <c r="B723" s="17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 x14ac:dyDescent="0.15">
      <c r="A724" s="2"/>
      <c r="B724" s="17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 x14ac:dyDescent="0.15">
      <c r="A725" s="2"/>
      <c r="B725" s="17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 x14ac:dyDescent="0.15">
      <c r="A726" s="2"/>
      <c r="B726" s="17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 x14ac:dyDescent="0.15">
      <c r="A727" s="2"/>
      <c r="B727" s="17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 x14ac:dyDescent="0.15">
      <c r="A728" s="2"/>
      <c r="B728" s="17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 x14ac:dyDescent="0.15">
      <c r="A729" s="2"/>
      <c r="B729" s="17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 x14ac:dyDescent="0.15">
      <c r="A730" s="2"/>
      <c r="B730" s="17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 x14ac:dyDescent="0.15">
      <c r="A731" s="2"/>
      <c r="B731" s="17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 x14ac:dyDescent="0.15">
      <c r="A732" s="2"/>
      <c r="B732" s="17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 x14ac:dyDescent="0.15">
      <c r="A733" s="2"/>
      <c r="B733" s="17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 x14ac:dyDescent="0.15">
      <c r="A734" s="2"/>
      <c r="B734" s="17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 x14ac:dyDescent="0.15">
      <c r="A735" s="2"/>
      <c r="B735" s="17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 x14ac:dyDescent="0.15">
      <c r="A736" s="2"/>
      <c r="B736" s="17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 x14ac:dyDescent="0.15">
      <c r="A737" s="2"/>
      <c r="B737" s="17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 x14ac:dyDescent="0.15">
      <c r="A738" s="2"/>
      <c r="B738" s="17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 x14ac:dyDescent="0.15">
      <c r="A739" s="2"/>
      <c r="B739" s="17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 x14ac:dyDescent="0.15">
      <c r="A740" s="2"/>
      <c r="B740" s="17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 x14ac:dyDescent="0.15">
      <c r="A741" s="2"/>
      <c r="B741" s="17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 x14ac:dyDescent="0.15">
      <c r="A742" s="2"/>
      <c r="B742" s="17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 x14ac:dyDescent="0.15">
      <c r="A743" s="2"/>
      <c r="B743" s="17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 x14ac:dyDescent="0.15">
      <c r="A744" s="2"/>
      <c r="B744" s="17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 x14ac:dyDescent="0.15">
      <c r="A745" s="2"/>
      <c r="B745" s="17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 x14ac:dyDescent="0.15">
      <c r="A746" s="2"/>
      <c r="B746" s="17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 x14ac:dyDescent="0.15">
      <c r="A747" s="2"/>
      <c r="B747" s="17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 x14ac:dyDescent="0.15">
      <c r="A748" s="2"/>
      <c r="B748" s="17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 x14ac:dyDescent="0.15">
      <c r="A749" s="2"/>
      <c r="B749" s="17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 x14ac:dyDescent="0.15">
      <c r="A750" s="2"/>
      <c r="B750" s="17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 x14ac:dyDescent="0.15">
      <c r="A751" s="2"/>
      <c r="B751" s="17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 x14ac:dyDescent="0.15">
      <c r="A752" s="2"/>
      <c r="B752" s="17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 x14ac:dyDescent="0.15">
      <c r="A753" s="2"/>
      <c r="B753" s="17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 x14ac:dyDescent="0.15">
      <c r="A754" s="2"/>
      <c r="B754" s="17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 x14ac:dyDescent="0.15">
      <c r="A755" s="2"/>
      <c r="B755" s="17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 x14ac:dyDescent="0.15">
      <c r="A756" s="2"/>
      <c r="B756" s="17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 x14ac:dyDescent="0.15">
      <c r="A757" s="2"/>
      <c r="B757" s="17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 x14ac:dyDescent="0.15">
      <c r="A758" s="2"/>
      <c r="B758" s="17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 x14ac:dyDescent="0.15">
      <c r="A759" s="2"/>
      <c r="B759" s="17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 x14ac:dyDescent="0.15">
      <c r="A760" s="2"/>
      <c r="B760" s="17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 x14ac:dyDescent="0.15">
      <c r="A761" s="2"/>
      <c r="B761" s="17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 x14ac:dyDescent="0.15">
      <c r="A762" s="2"/>
      <c r="B762" s="17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 x14ac:dyDescent="0.15">
      <c r="A763" s="2"/>
      <c r="B763" s="17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 x14ac:dyDescent="0.15">
      <c r="A764" s="2"/>
      <c r="B764" s="17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 x14ac:dyDescent="0.15">
      <c r="A765" s="2"/>
      <c r="B765" s="17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 x14ac:dyDescent="0.15">
      <c r="A766" s="2"/>
      <c r="B766" s="17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 x14ac:dyDescent="0.15">
      <c r="A767" s="2"/>
      <c r="B767" s="17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 x14ac:dyDescent="0.15">
      <c r="A768" s="2"/>
      <c r="B768" s="17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 x14ac:dyDescent="0.15">
      <c r="A769" s="2"/>
      <c r="B769" s="17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 x14ac:dyDescent="0.15">
      <c r="A770" s="2"/>
      <c r="B770" s="17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 x14ac:dyDescent="0.15">
      <c r="A771" s="2"/>
      <c r="B771" s="17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 x14ac:dyDescent="0.15">
      <c r="A772" s="2"/>
      <c r="B772" s="17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 x14ac:dyDescent="0.15">
      <c r="A773" s="2"/>
      <c r="B773" s="17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 x14ac:dyDescent="0.15">
      <c r="A774" s="2"/>
      <c r="B774" s="17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 x14ac:dyDescent="0.15">
      <c r="A775" s="2"/>
      <c r="B775" s="17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 x14ac:dyDescent="0.15">
      <c r="A776" s="2"/>
      <c r="B776" s="17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 x14ac:dyDescent="0.15">
      <c r="A777" s="2"/>
      <c r="B777" s="17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 x14ac:dyDescent="0.15">
      <c r="A778" s="2"/>
      <c r="B778" s="17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 x14ac:dyDescent="0.15">
      <c r="A779" s="2"/>
      <c r="B779" s="17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 x14ac:dyDescent="0.15">
      <c r="A780" s="2"/>
      <c r="B780" s="17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 x14ac:dyDescent="0.15">
      <c r="A781" s="2"/>
      <c r="B781" s="17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 x14ac:dyDescent="0.15">
      <c r="A782" s="2"/>
      <c r="B782" s="17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 x14ac:dyDescent="0.15">
      <c r="A783" s="2"/>
      <c r="B783" s="17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 x14ac:dyDescent="0.15">
      <c r="A784" s="2"/>
      <c r="B784" s="17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 x14ac:dyDescent="0.15">
      <c r="A785" s="2"/>
      <c r="B785" s="17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 x14ac:dyDescent="0.15">
      <c r="A786" s="2"/>
      <c r="B786" s="17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 x14ac:dyDescent="0.15">
      <c r="A787" s="2"/>
      <c r="B787" s="17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 x14ac:dyDescent="0.15">
      <c r="A788" s="2"/>
      <c r="B788" s="17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 x14ac:dyDescent="0.15">
      <c r="A789" s="2"/>
      <c r="B789" s="17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 x14ac:dyDescent="0.15">
      <c r="A790" s="2"/>
      <c r="B790" s="17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 x14ac:dyDescent="0.15">
      <c r="A791" s="2"/>
      <c r="B791" s="17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 x14ac:dyDescent="0.15">
      <c r="A792" s="2"/>
      <c r="B792" s="17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 x14ac:dyDescent="0.15">
      <c r="A793" s="2"/>
      <c r="B793" s="17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 x14ac:dyDescent="0.15">
      <c r="A794" s="2"/>
      <c r="B794" s="17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 x14ac:dyDescent="0.15">
      <c r="A795" s="2"/>
      <c r="B795" s="17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 x14ac:dyDescent="0.15">
      <c r="A796" s="2"/>
      <c r="B796" s="17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 x14ac:dyDescent="0.15">
      <c r="A797" s="2"/>
      <c r="B797" s="17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 x14ac:dyDescent="0.15">
      <c r="A798" s="2"/>
      <c r="B798" s="17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 x14ac:dyDescent="0.15">
      <c r="A799" s="2"/>
      <c r="B799" s="17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 x14ac:dyDescent="0.15">
      <c r="A800" s="2"/>
      <c r="B800" s="17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 x14ac:dyDescent="0.15">
      <c r="A801" s="2"/>
      <c r="B801" s="17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 x14ac:dyDescent="0.15">
      <c r="A802" s="2"/>
      <c r="B802" s="17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 x14ac:dyDescent="0.15">
      <c r="A803" s="2"/>
      <c r="B803" s="17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 x14ac:dyDescent="0.15">
      <c r="A804" s="2"/>
      <c r="B804" s="17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 x14ac:dyDescent="0.15">
      <c r="A805" s="2"/>
      <c r="B805" s="17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 x14ac:dyDescent="0.15">
      <c r="A806" s="2"/>
      <c r="B806" s="17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 x14ac:dyDescent="0.15">
      <c r="A807" s="2"/>
      <c r="B807" s="17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 x14ac:dyDescent="0.15">
      <c r="A808" s="2"/>
      <c r="B808" s="17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 x14ac:dyDescent="0.15">
      <c r="A809" s="2"/>
      <c r="B809" s="17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 x14ac:dyDescent="0.15">
      <c r="A810" s="2"/>
      <c r="B810" s="17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 x14ac:dyDescent="0.15">
      <c r="A811" s="2"/>
      <c r="B811" s="17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 x14ac:dyDescent="0.15">
      <c r="A812" s="2"/>
      <c r="B812" s="17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 x14ac:dyDescent="0.15">
      <c r="A813" s="2"/>
      <c r="B813" s="17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 x14ac:dyDescent="0.15">
      <c r="A814" s="2"/>
      <c r="B814" s="17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 x14ac:dyDescent="0.15">
      <c r="A815" s="2"/>
      <c r="B815" s="17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 x14ac:dyDescent="0.15">
      <c r="A816" s="2"/>
      <c r="B816" s="17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 x14ac:dyDescent="0.15">
      <c r="A817" s="2"/>
      <c r="B817" s="17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 x14ac:dyDescent="0.15">
      <c r="A818" s="2"/>
      <c r="B818" s="17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 x14ac:dyDescent="0.15">
      <c r="A819" s="2"/>
      <c r="B819" s="17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 x14ac:dyDescent="0.15">
      <c r="A820" s="2"/>
      <c r="B820" s="17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 x14ac:dyDescent="0.15">
      <c r="A821" s="2"/>
      <c r="B821" s="17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 x14ac:dyDescent="0.15">
      <c r="A822" s="2"/>
      <c r="B822" s="17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 x14ac:dyDescent="0.15">
      <c r="A823" s="2"/>
      <c r="B823" s="17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 x14ac:dyDescent="0.15">
      <c r="A824" s="2"/>
      <c r="B824" s="17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 x14ac:dyDescent="0.15">
      <c r="A825" s="2"/>
      <c r="B825" s="17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 x14ac:dyDescent="0.15">
      <c r="A826" s="2"/>
      <c r="B826" s="17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 x14ac:dyDescent="0.15">
      <c r="A827" s="2"/>
      <c r="B827" s="17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 x14ac:dyDescent="0.15">
      <c r="A828" s="2"/>
      <c r="B828" s="17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 x14ac:dyDescent="0.15">
      <c r="A829" s="2"/>
      <c r="B829" s="17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 x14ac:dyDescent="0.15">
      <c r="A830" s="2"/>
      <c r="B830" s="17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 x14ac:dyDescent="0.15">
      <c r="A831" s="2"/>
      <c r="B831" s="17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 x14ac:dyDescent="0.15">
      <c r="A832" s="2"/>
      <c r="B832" s="17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 x14ac:dyDescent="0.15">
      <c r="A833" s="2"/>
      <c r="B833" s="17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 x14ac:dyDescent="0.15">
      <c r="A834" s="2"/>
      <c r="B834" s="17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 x14ac:dyDescent="0.15">
      <c r="A835" s="2"/>
      <c r="B835" s="17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 x14ac:dyDescent="0.15">
      <c r="A836" s="2"/>
      <c r="B836" s="17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 x14ac:dyDescent="0.15">
      <c r="A837" s="2"/>
      <c r="B837" s="17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 x14ac:dyDescent="0.15">
      <c r="A838" s="2"/>
      <c r="B838" s="17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 x14ac:dyDescent="0.15">
      <c r="A839" s="2"/>
      <c r="B839" s="17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 x14ac:dyDescent="0.15">
      <c r="A840" s="2"/>
      <c r="B840" s="17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 x14ac:dyDescent="0.15">
      <c r="A841" s="2"/>
      <c r="B841" s="17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 x14ac:dyDescent="0.15">
      <c r="A842" s="2"/>
      <c r="B842" s="17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 x14ac:dyDescent="0.15">
      <c r="A843" s="2"/>
      <c r="B843" s="17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 x14ac:dyDescent="0.15">
      <c r="A844" s="2"/>
      <c r="B844" s="17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 x14ac:dyDescent="0.15">
      <c r="A845" s="2"/>
      <c r="B845" s="17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 x14ac:dyDescent="0.15">
      <c r="A846" s="2"/>
      <c r="B846" s="17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 x14ac:dyDescent="0.15">
      <c r="A847" s="2"/>
      <c r="B847" s="17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 x14ac:dyDescent="0.15">
      <c r="A848" s="2"/>
      <c r="B848" s="17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 x14ac:dyDescent="0.15">
      <c r="A849" s="2"/>
      <c r="B849" s="17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 x14ac:dyDescent="0.15">
      <c r="A850" s="2"/>
      <c r="B850" s="17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 x14ac:dyDescent="0.15">
      <c r="A851" s="2"/>
      <c r="B851" s="17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 x14ac:dyDescent="0.15">
      <c r="A852" s="2"/>
      <c r="B852" s="17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 x14ac:dyDescent="0.15">
      <c r="A853" s="2"/>
      <c r="B853" s="17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 x14ac:dyDescent="0.15">
      <c r="A854" s="2"/>
      <c r="B854" s="17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 x14ac:dyDescent="0.15">
      <c r="A855" s="2"/>
      <c r="B855" s="17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 x14ac:dyDescent="0.15">
      <c r="A856" s="2"/>
      <c r="B856" s="17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 x14ac:dyDescent="0.15">
      <c r="A857" s="2"/>
      <c r="B857" s="17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 x14ac:dyDescent="0.15">
      <c r="A858" s="2"/>
      <c r="B858" s="17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 x14ac:dyDescent="0.15">
      <c r="A859" s="2"/>
      <c r="B859" s="17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 x14ac:dyDescent="0.15">
      <c r="A860" s="2"/>
      <c r="B860" s="17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 x14ac:dyDescent="0.15">
      <c r="A861" s="2"/>
      <c r="B861" s="17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 x14ac:dyDescent="0.15">
      <c r="A862" s="2"/>
      <c r="B862" s="17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 x14ac:dyDescent="0.15">
      <c r="A863" s="2"/>
      <c r="B863" s="17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 x14ac:dyDescent="0.15">
      <c r="A864" s="2"/>
      <c r="B864" s="17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 x14ac:dyDescent="0.15">
      <c r="A865" s="2"/>
      <c r="B865" s="17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 x14ac:dyDescent="0.15">
      <c r="A866" s="2"/>
      <c r="B866" s="17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 x14ac:dyDescent="0.15">
      <c r="A867" s="2"/>
      <c r="B867" s="17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 x14ac:dyDescent="0.15">
      <c r="A868" s="2"/>
      <c r="B868" s="17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 x14ac:dyDescent="0.15">
      <c r="A869" s="2"/>
      <c r="B869" s="17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 x14ac:dyDescent="0.15">
      <c r="A870" s="2"/>
      <c r="B870" s="17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 x14ac:dyDescent="0.15">
      <c r="A871" s="2"/>
      <c r="B871" s="17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 x14ac:dyDescent="0.15">
      <c r="A872" s="2"/>
      <c r="B872" s="17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 x14ac:dyDescent="0.15">
      <c r="A873" s="2"/>
      <c r="B873" s="17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 x14ac:dyDescent="0.15">
      <c r="A874" s="2"/>
      <c r="B874" s="17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 x14ac:dyDescent="0.15">
      <c r="A875" s="2"/>
      <c r="B875" s="17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 x14ac:dyDescent="0.15">
      <c r="A876" s="2"/>
      <c r="B876" s="17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 x14ac:dyDescent="0.15">
      <c r="A877" s="2"/>
      <c r="B877" s="17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 x14ac:dyDescent="0.15">
      <c r="A878" s="2"/>
      <c r="B878" s="17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 x14ac:dyDescent="0.15">
      <c r="A879" s="2"/>
      <c r="B879" s="17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 x14ac:dyDescent="0.15">
      <c r="A880" s="2"/>
      <c r="B880" s="17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 x14ac:dyDescent="0.15">
      <c r="A881" s="2"/>
      <c r="B881" s="17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 x14ac:dyDescent="0.15">
      <c r="A882" s="2"/>
      <c r="B882" s="17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 x14ac:dyDescent="0.15">
      <c r="A883" s="2"/>
      <c r="B883" s="17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 x14ac:dyDescent="0.15">
      <c r="A884" s="2"/>
      <c r="B884" s="17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 x14ac:dyDescent="0.15">
      <c r="A885" s="2"/>
      <c r="B885" s="17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 x14ac:dyDescent="0.15">
      <c r="A886" s="2"/>
      <c r="B886" s="17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 x14ac:dyDescent="0.15">
      <c r="A887" s="2"/>
      <c r="B887" s="17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 x14ac:dyDescent="0.15">
      <c r="A888" s="2"/>
      <c r="B888" s="17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 x14ac:dyDescent="0.15">
      <c r="A889" s="2"/>
      <c r="B889" s="17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 x14ac:dyDescent="0.15">
      <c r="A890" s="2"/>
      <c r="B890" s="17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 x14ac:dyDescent="0.15">
      <c r="A891" s="2"/>
      <c r="B891" s="17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 x14ac:dyDescent="0.15">
      <c r="A892" s="2"/>
      <c r="B892" s="17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 x14ac:dyDescent="0.15">
      <c r="A893" s="2"/>
      <c r="B893" s="17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 x14ac:dyDescent="0.15">
      <c r="A894" s="2"/>
      <c r="B894" s="17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 x14ac:dyDescent="0.15">
      <c r="A895" s="2"/>
      <c r="B895" s="17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 x14ac:dyDescent="0.15">
      <c r="A896" s="2"/>
      <c r="B896" s="17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 x14ac:dyDescent="0.15">
      <c r="A897" s="2"/>
      <c r="B897" s="17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 x14ac:dyDescent="0.15">
      <c r="A898" s="2"/>
      <c r="B898" s="17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 x14ac:dyDescent="0.15">
      <c r="A899" s="2"/>
      <c r="B899" s="17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 x14ac:dyDescent="0.15">
      <c r="A900" s="2"/>
      <c r="B900" s="17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 x14ac:dyDescent="0.15">
      <c r="A901" s="2"/>
      <c r="B901" s="17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 x14ac:dyDescent="0.15">
      <c r="A902" s="2"/>
      <c r="B902" s="17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 x14ac:dyDescent="0.15">
      <c r="A903" s="2"/>
      <c r="B903" s="17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 x14ac:dyDescent="0.15">
      <c r="A904" s="2"/>
      <c r="B904" s="17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 x14ac:dyDescent="0.15">
      <c r="A905" s="2"/>
      <c r="B905" s="17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 x14ac:dyDescent="0.15">
      <c r="A906" s="2"/>
      <c r="B906" s="17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 x14ac:dyDescent="0.15">
      <c r="A907" s="2"/>
      <c r="B907" s="17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 x14ac:dyDescent="0.15">
      <c r="A908" s="2"/>
      <c r="B908" s="17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 x14ac:dyDescent="0.15">
      <c r="A909" s="2"/>
      <c r="B909" s="17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 x14ac:dyDescent="0.15">
      <c r="A910" s="2"/>
      <c r="B910" s="17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 x14ac:dyDescent="0.15">
      <c r="A911" s="2"/>
      <c r="B911" s="17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 x14ac:dyDescent="0.15">
      <c r="A912" s="2"/>
      <c r="B912" s="17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 x14ac:dyDescent="0.15">
      <c r="A913" s="2"/>
      <c r="B913" s="17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 x14ac:dyDescent="0.15">
      <c r="A914" s="2"/>
      <c r="B914" s="17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 x14ac:dyDescent="0.15">
      <c r="A915" s="2"/>
      <c r="B915" s="17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 x14ac:dyDescent="0.15">
      <c r="A916" s="2"/>
      <c r="B916" s="17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 x14ac:dyDescent="0.15">
      <c r="A917" s="2"/>
      <c r="B917" s="17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 x14ac:dyDescent="0.15">
      <c r="A918" s="2"/>
      <c r="B918" s="17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 x14ac:dyDescent="0.15">
      <c r="A919" s="2"/>
      <c r="B919" s="17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 x14ac:dyDescent="0.15">
      <c r="A920" s="2"/>
      <c r="B920" s="17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 x14ac:dyDescent="0.15">
      <c r="A921" s="2"/>
      <c r="B921" s="17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 x14ac:dyDescent="0.15">
      <c r="A922" s="2"/>
      <c r="B922" s="17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 x14ac:dyDescent="0.15">
      <c r="A923" s="2"/>
      <c r="B923" s="17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 x14ac:dyDescent="0.15">
      <c r="A924" s="2"/>
      <c r="B924" s="17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 x14ac:dyDescent="0.15">
      <c r="A925" s="2"/>
      <c r="B925" s="17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 x14ac:dyDescent="0.15">
      <c r="A926" s="2"/>
      <c r="B926" s="17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 x14ac:dyDescent="0.15">
      <c r="A927" s="2"/>
      <c r="B927" s="17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 x14ac:dyDescent="0.15">
      <c r="A928" s="2"/>
      <c r="B928" s="17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 x14ac:dyDescent="0.15">
      <c r="A929" s="2"/>
      <c r="B929" s="17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 x14ac:dyDescent="0.15">
      <c r="A930" s="2"/>
      <c r="B930" s="17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 x14ac:dyDescent="0.15">
      <c r="A931" s="2"/>
      <c r="B931" s="17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 x14ac:dyDescent="0.15">
      <c r="A932" s="2"/>
      <c r="B932" s="17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 x14ac:dyDescent="0.15">
      <c r="A933" s="2"/>
      <c r="B933" s="17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 x14ac:dyDescent="0.15">
      <c r="A934" s="2"/>
      <c r="B934" s="17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 x14ac:dyDescent="0.15">
      <c r="A935" s="2"/>
      <c r="B935" s="17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 x14ac:dyDescent="0.15">
      <c r="A936" s="2"/>
      <c r="B936" s="17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 x14ac:dyDescent="0.15">
      <c r="A937" s="2"/>
      <c r="B937" s="17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 x14ac:dyDescent="0.15">
      <c r="A938" s="2"/>
      <c r="B938" s="17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 x14ac:dyDescent="0.15">
      <c r="A939" s="2"/>
      <c r="B939" s="17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 x14ac:dyDescent="0.15">
      <c r="A940" s="2"/>
      <c r="B940" s="17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 x14ac:dyDescent="0.15">
      <c r="A941" s="2"/>
      <c r="B941" s="17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 x14ac:dyDescent="0.15">
      <c r="A942" s="2"/>
      <c r="B942" s="17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 x14ac:dyDescent="0.15">
      <c r="A943" s="2"/>
      <c r="B943" s="17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 x14ac:dyDescent="0.15">
      <c r="A944" s="2"/>
      <c r="B944" s="17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 x14ac:dyDescent="0.15">
      <c r="A945" s="2"/>
      <c r="B945" s="17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 x14ac:dyDescent="0.15">
      <c r="A946" s="2"/>
      <c r="B946" s="17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 x14ac:dyDescent="0.15">
      <c r="A947" s="2"/>
      <c r="B947" s="17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 x14ac:dyDescent="0.15">
      <c r="A948" s="2"/>
      <c r="B948" s="17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 x14ac:dyDescent="0.15">
      <c r="A949" s="2"/>
      <c r="B949" s="17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 x14ac:dyDescent="0.15">
      <c r="A950" s="2"/>
      <c r="B950" s="17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 x14ac:dyDescent="0.15">
      <c r="A951" s="2"/>
      <c r="B951" s="17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 x14ac:dyDescent="0.15">
      <c r="A952" s="2"/>
      <c r="B952" s="17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 x14ac:dyDescent="0.15">
      <c r="A953" s="2"/>
      <c r="B953" s="17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 x14ac:dyDescent="0.15">
      <c r="A954" s="2"/>
      <c r="B954" s="17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 x14ac:dyDescent="0.15">
      <c r="A955" s="2"/>
      <c r="B955" s="17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 x14ac:dyDescent="0.15">
      <c r="A956" s="2"/>
      <c r="B956" s="17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 x14ac:dyDescent="0.15">
      <c r="A957" s="2"/>
      <c r="B957" s="17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 x14ac:dyDescent="0.15">
      <c r="A958" s="2"/>
      <c r="B958" s="17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 x14ac:dyDescent="0.15">
      <c r="A959" s="2"/>
      <c r="B959" s="17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 x14ac:dyDescent="0.15">
      <c r="A960" s="2"/>
      <c r="B960" s="17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 x14ac:dyDescent="0.15">
      <c r="A961" s="2"/>
      <c r="B961" s="17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 x14ac:dyDescent="0.15">
      <c r="A962" s="2"/>
      <c r="B962" s="17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 x14ac:dyDescent="0.15">
      <c r="A963" s="2"/>
      <c r="B963" s="17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 x14ac:dyDescent="0.15">
      <c r="A964" s="2"/>
      <c r="B964" s="17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 x14ac:dyDescent="0.15">
      <c r="A965" s="2"/>
      <c r="B965" s="17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 x14ac:dyDescent="0.15">
      <c r="A966" s="2"/>
      <c r="B966" s="17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 x14ac:dyDescent="0.15">
      <c r="A967" s="2"/>
      <c r="B967" s="17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 x14ac:dyDescent="0.15">
      <c r="A968" s="2"/>
      <c r="B968" s="17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 x14ac:dyDescent="0.15">
      <c r="A969" s="2"/>
      <c r="B969" s="17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 x14ac:dyDescent="0.15">
      <c r="A970" s="2"/>
      <c r="B970" s="17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 x14ac:dyDescent="0.15">
      <c r="A971" s="2"/>
      <c r="B971" s="17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 x14ac:dyDescent="0.15">
      <c r="A972" s="2"/>
      <c r="B972" s="17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 x14ac:dyDescent="0.15">
      <c r="A973" s="2"/>
      <c r="B973" s="17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 x14ac:dyDescent="0.15">
      <c r="A974" s="2"/>
      <c r="B974" s="17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 x14ac:dyDescent="0.15">
      <c r="A975" s="2"/>
      <c r="B975" s="17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 x14ac:dyDescent="0.15">
      <c r="A976" s="2"/>
      <c r="B976" s="17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 x14ac:dyDescent="0.15">
      <c r="A977" s="2"/>
      <c r="B977" s="17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 x14ac:dyDescent="0.15">
      <c r="A978" s="2"/>
      <c r="B978" s="17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 x14ac:dyDescent="0.15">
      <c r="A979" s="2"/>
      <c r="B979" s="17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 x14ac:dyDescent="0.15">
      <c r="A980" s="2"/>
      <c r="B980" s="17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 x14ac:dyDescent="0.15">
      <c r="A981" s="2"/>
      <c r="B981" s="17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 x14ac:dyDescent="0.15">
      <c r="A982" s="2"/>
      <c r="B982" s="17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 x14ac:dyDescent="0.15">
      <c r="A983" s="2"/>
      <c r="B983" s="17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 x14ac:dyDescent="0.15">
      <c r="A984" s="2"/>
      <c r="B984" s="17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 x14ac:dyDescent="0.15">
      <c r="A985" s="2"/>
      <c r="B985" s="17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 x14ac:dyDescent="0.15">
      <c r="A986" s="2"/>
      <c r="B986" s="17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 x14ac:dyDescent="0.15">
      <c r="A987" s="2"/>
      <c r="B987" s="17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 x14ac:dyDescent="0.15">
      <c r="A988" s="2"/>
      <c r="B988" s="17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 x14ac:dyDescent="0.15">
      <c r="A989" s="2"/>
      <c r="B989" s="17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 x14ac:dyDescent="0.15">
      <c r="A990" s="2"/>
      <c r="B990" s="17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 x14ac:dyDescent="0.15">
      <c r="A991" s="2"/>
      <c r="B991" s="17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 x14ac:dyDescent="0.15">
      <c r="A992" s="2"/>
      <c r="B992" s="17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 x14ac:dyDescent="0.15">
      <c r="A993" s="2"/>
      <c r="B993" s="17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 x14ac:dyDescent="0.15">
      <c r="A994" s="2"/>
      <c r="B994" s="17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 x14ac:dyDescent="0.15">
      <c r="A995" s="2"/>
      <c r="B995" s="17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 x14ac:dyDescent="0.15">
      <c r="A996" s="2"/>
      <c r="B996" s="17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 x14ac:dyDescent="0.15">
      <c r="A997" s="2"/>
      <c r="B997" s="17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 x14ac:dyDescent="0.15">
      <c r="A998" s="2"/>
      <c r="B998" s="17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 x14ac:dyDescent="0.15">
      <c r="A999" s="2"/>
      <c r="B999" s="17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 x14ac:dyDescent="0.15">
      <c r="A1000" s="2"/>
      <c r="B1000" s="17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 x14ac:dyDescent="0.15">
      <c r="A1001" s="2"/>
      <c r="B1001" s="17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75" customHeight="1" x14ac:dyDescent="0.15">
      <c r="A1002" s="2"/>
      <c r="B1002" s="17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8">
    <mergeCell ref="A1:Q1"/>
    <mergeCell ref="A2:AA2"/>
    <mergeCell ref="A16:K16"/>
    <mergeCell ref="P16:W16"/>
    <mergeCell ref="X16:Y16"/>
    <mergeCell ref="L16:O16"/>
    <mergeCell ref="A3:A6"/>
    <mergeCell ref="B3:B5"/>
  </mergeCells>
  <phoneticPr fontId="70" type="noConversion"/>
  <conditionalFormatting sqref="B2:B1002">
    <cfRule type="cellIs" dxfId="58" priority="1" operator="equal">
      <formula>"低"</formula>
    </cfRule>
  </conditionalFormatting>
  <conditionalFormatting sqref="B2:B1002">
    <cfRule type="cellIs" dxfId="57" priority="2" operator="equal">
      <formula>"中"</formula>
    </cfRule>
  </conditionalFormatting>
  <conditionalFormatting sqref="B2:B1002">
    <cfRule type="cellIs" dxfId="56" priority="3" operator="equal">
      <formula>"高"</formula>
    </cfRule>
  </conditionalFormatting>
  <conditionalFormatting sqref="L18">
    <cfRule type="cellIs" dxfId="55" priority="4" operator="equal">
      <formula>"验证通过"</formula>
    </cfRule>
  </conditionalFormatting>
  <conditionalFormatting sqref="L18">
    <cfRule type="cellIs" dxfId="54" priority="5" operator="equal">
      <formula>"验证未通过"</formula>
    </cfRule>
  </conditionalFormatting>
  <conditionalFormatting sqref="L18">
    <cfRule type="cellIs" dxfId="53" priority="6" operator="equal">
      <formula>"未验证"</formula>
    </cfRule>
  </conditionalFormatting>
  <conditionalFormatting sqref="L19:O19">
    <cfRule type="cellIs" dxfId="52" priority="7" operator="equal">
      <formula>"验证通过"</formula>
    </cfRule>
  </conditionalFormatting>
  <conditionalFormatting sqref="L19:O19">
    <cfRule type="cellIs" dxfId="51" priority="8" operator="equal">
      <formula>"验证未通过"</formula>
    </cfRule>
  </conditionalFormatting>
  <conditionalFormatting sqref="L19:O19">
    <cfRule type="cellIs" dxfId="50" priority="9" operator="equal">
      <formula>"未验证"</formula>
    </cfRule>
  </conditionalFormatting>
  <conditionalFormatting sqref="L21:O25">
    <cfRule type="cellIs" dxfId="49" priority="10" operator="equal">
      <formula>"验证通过"</formula>
    </cfRule>
  </conditionalFormatting>
  <conditionalFormatting sqref="L21:O25">
    <cfRule type="cellIs" dxfId="48" priority="11" operator="equal">
      <formula>"验证未通过"</formula>
    </cfRule>
  </conditionalFormatting>
  <conditionalFormatting sqref="L21:O25">
    <cfRule type="cellIs" dxfId="47" priority="12" operator="equal">
      <formula>"未验证"</formula>
    </cfRule>
  </conditionalFormatting>
  <conditionalFormatting sqref="L27:O30">
    <cfRule type="cellIs" dxfId="46" priority="13" operator="equal">
      <formula>"验证通过"</formula>
    </cfRule>
  </conditionalFormatting>
  <conditionalFormatting sqref="L27:O30">
    <cfRule type="cellIs" dxfId="45" priority="14" operator="equal">
      <formula>"验证未通过"</formula>
    </cfRule>
  </conditionalFormatting>
  <conditionalFormatting sqref="L27:O30">
    <cfRule type="cellIs" dxfId="44" priority="15" operator="equal">
      <formula>"未验证"</formula>
    </cfRule>
  </conditionalFormatting>
  <dataValidations count="4">
    <dataValidation type="list" allowBlank="1" showErrorMessage="1" sqref="I18:I29">
      <formula1>"访问,一天,一周,一月"</formula1>
    </dataValidation>
    <dataValidation type="list" allowBlank="1" sqref="L18:L30">
      <formula1>"未验证,验证通过,验证未通过"</formula1>
    </dataValidation>
    <dataValidation type="list" allowBlank="1" showErrorMessage="1" sqref="B18:B126">
      <formula1>"高,中,低"</formula1>
    </dataValidation>
    <dataValidation type="list" allowBlank="1" showErrorMessage="1" sqref="H18:H29">
      <formula1>"最近,最初,线性"</formula1>
    </dataValidation>
  </dataValidations>
  <hyperlinks>
    <hyperlink ref="P19" r:id="rId1" location="18-she-zhi-zhuan-hua-bian-liang-evarset"/>
    <hyperlink ref="R19" r:id="rId2" location="setevar"/>
    <hyperlink ref="T19" r:id="rId3" location="setevar"/>
    <hyperlink ref="V19" r:id="rId4" location="zhuan-hua-bian-liang"/>
  </hyperlinks>
  <pageMargins left="0.5" right="0.5" top="0.75" bottom="0.75" header="0" footer="0"/>
  <pageSetup orientation="portrait"/>
  <headerFooter>
    <oddFooter>&amp;C000000&amp;P</oddFooter>
  </headerFooter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C1002"/>
  <sheetViews>
    <sheetView showGridLines="0" workbookViewId="0">
      <selection activeCell="B10" sqref="B10"/>
    </sheetView>
  </sheetViews>
  <sheetFormatPr baseColWidth="10" defaultColWidth="14.5" defaultRowHeight="15" customHeight="1" x14ac:dyDescent="0.15"/>
  <cols>
    <col min="1" max="1" width="16.33203125" customWidth="1"/>
    <col min="2" max="2" width="13.83203125" customWidth="1"/>
    <col min="3" max="3" width="9.83203125" customWidth="1"/>
    <col min="4" max="5" width="9.33203125" hidden="1" customWidth="1"/>
    <col min="6" max="6" width="19.5" customWidth="1"/>
    <col min="7" max="7" width="10" customWidth="1"/>
    <col min="8" max="8" width="28.6640625" customWidth="1"/>
    <col min="9" max="9" width="16.33203125" customWidth="1"/>
    <col min="10" max="10" width="20.83203125" customWidth="1"/>
    <col min="11" max="12" width="11.33203125" customWidth="1"/>
    <col min="13" max="13" width="16.6640625" customWidth="1"/>
    <col min="14" max="15" width="13.83203125" customWidth="1"/>
    <col min="16" max="16" width="22" customWidth="1"/>
    <col min="17" max="17" width="22.6640625" customWidth="1"/>
    <col min="18" max="18" width="30.33203125" customWidth="1"/>
    <col min="19" max="19" width="27.1640625" customWidth="1"/>
    <col min="20" max="20" width="28.33203125" customWidth="1"/>
    <col min="21" max="21" width="25.83203125" customWidth="1"/>
    <col min="22" max="22" width="19" customWidth="1"/>
    <col min="23" max="23" width="28.5" customWidth="1"/>
    <col min="24" max="25" width="16.33203125" hidden="1" customWidth="1"/>
    <col min="26" max="29" width="16.33203125" customWidth="1"/>
  </cols>
  <sheetData>
    <row r="1" spans="1:29" s="212" customFormat="1" ht="34" customHeight="1" x14ac:dyDescent="0.15">
      <c r="A1" s="228"/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</row>
    <row r="2" spans="1:29" ht="30.75" customHeight="1" x14ac:dyDescent="0.15">
      <c r="A2" s="274" t="s">
        <v>281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6"/>
    </row>
    <row r="3" spans="1:29" ht="16" x14ac:dyDescent="0.15">
      <c r="A3" s="275" t="s">
        <v>282</v>
      </c>
      <c r="B3" s="278" t="s">
        <v>5</v>
      </c>
      <c r="C3" s="133" t="s">
        <v>6</v>
      </c>
      <c r="D3" s="8"/>
      <c r="E3" s="61"/>
      <c r="F3" s="8"/>
      <c r="G3" s="8"/>
      <c r="H3" s="106"/>
      <c r="I3" s="106"/>
      <c r="J3" s="106"/>
      <c r="K3" s="13"/>
      <c r="L3" s="13"/>
      <c r="M3" s="13"/>
      <c r="N3" s="13"/>
      <c r="O3" s="13"/>
      <c r="P3" s="172"/>
      <c r="Q3" s="27"/>
      <c r="R3" s="27"/>
      <c r="S3" s="27"/>
      <c r="T3" s="27"/>
      <c r="U3" s="27"/>
      <c r="V3" s="27"/>
      <c r="W3" s="13"/>
      <c r="X3" s="13"/>
      <c r="Y3" s="13"/>
      <c r="Z3" s="13"/>
      <c r="AA3" s="13"/>
      <c r="AB3" s="13"/>
      <c r="AC3" s="13"/>
    </row>
    <row r="4" spans="1:29" ht="16" x14ac:dyDescent="0.15">
      <c r="A4" s="276"/>
      <c r="B4" s="276"/>
      <c r="C4" s="173" t="s">
        <v>283</v>
      </c>
      <c r="D4" s="8"/>
      <c r="E4" s="12"/>
      <c r="F4" s="23"/>
      <c r="G4" s="30"/>
      <c r="H4" s="106"/>
      <c r="I4" s="106"/>
      <c r="J4" s="106"/>
      <c r="K4" s="13"/>
      <c r="L4" s="13"/>
      <c r="M4" s="13"/>
      <c r="N4" s="13"/>
      <c r="O4" s="13"/>
      <c r="P4" s="172"/>
      <c r="Q4" s="27"/>
      <c r="R4" s="27"/>
      <c r="S4" s="27"/>
      <c r="T4" s="27"/>
      <c r="U4" s="27"/>
      <c r="V4" s="27"/>
      <c r="W4" s="13"/>
      <c r="X4" s="13"/>
      <c r="Y4" s="13"/>
      <c r="Z4" s="13"/>
      <c r="AA4" s="13"/>
      <c r="AB4" s="13"/>
      <c r="AC4" s="13"/>
    </row>
    <row r="5" spans="1:29" ht="16" x14ac:dyDescent="0.15">
      <c r="A5" s="276"/>
      <c r="B5" s="277"/>
      <c r="C5" s="136" t="s">
        <v>284</v>
      </c>
      <c r="D5" s="8"/>
      <c r="E5" s="8"/>
      <c r="F5" s="23"/>
      <c r="G5" s="30"/>
      <c r="H5" s="106"/>
      <c r="I5" s="106"/>
      <c r="J5" s="106"/>
      <c r="K5" s="13"/>
      <c r="L5" s="13"/>
      <c r="M5" s="13"/>
      <c r="N5" s="13"/>
      <c r="O5" s="13"/>
      <c r="P5" s="172"/>
      <c r="Q5" s="27"/>
      <c r="R5" s="27"/>
      <c r="S5" s="27"/>
      <c r="T5" s="27"/>
      <c r="U5" s="27"/>
      <c r="V5" s="27"/>
      <c r="W5" s="13"/>
      <c r="X5" s="13"/>
      <c r="Y5" s="13"/>
      <c r="Z5" s="13"/>
      <c r="AA5" s="13"/>
      <c r="AB5" s="13"/>
      <c r="AC5" s="13"/>
    </row>
    <row r="6" spans="1:29" ht="21" x14ac:dyDescent="0.15">
      <c r="A6" s="277"/>
      <c r="B6" s="32" t="s">
        <v>16</v>
      </c>
      <c r="C6" s="8" t="s">
        <v>285</v>
      </c>
      <c r="D6" s="8"/>
      <c r="E6" s="8"/>
      <c r="F6" s="23"/>
      <c r="G6" s="30"/>
      <c r="H6" s="106"/>
      <c r="I6" s="106"/>
      <c r="J6" s="106"/>
      <c r="K6" s="13"/>
      <c r="L6" s="13"/>
      <c r="M6" s="13"/>
      <c r="N6" s="13"/>
      <c r="O6" s="13"/>
      <c r="P6" s="172"/>
      <c r="Q6" s="27"/>
      <c r="R6" s="27"/>
      <c r="S6" s="27"/>
      <c r="T6" s="27"/>
      <c r="U6" s="27"/>
      <c r="V6" s="27"/>
      <c r="W6" s="13"/>
      <c r="X6" s="13"/>
      <c r="Y6" s="13"/>
      <c r="Z6" s="13"/>
      <c r="AA6" s="13"/>
      <c r="AB6" s="13"/>
      <c r="AC6" s="13"/>
    </row>
    <row r="7" spans="1:29" ht="22.5" customHeight="1" x14ac:dyDescent="0.15">
      <c r="A7" s="27"/>
      <c r="B7" s="137"/>
      <c r="C7" s="12"/>
      <c r="D7" s="12"/>
      <c r="E7" s="12"/>
      <c r="F7" s="138"/>
      <c r="G7" s="27"/>
      <c r="H7" s="106"/>
      <c r="I7" s="106"/>
      <c r="J7" s="106"/>
      <c r="K7" s="13"/>
      <c r="L7" s="13"/>
      <c r="M7" s="13"/>
      <c r="N7" s="13"/>
      <c r="O7" s="13"/>
      <c r="P7" s="172"/>
      <c r="Q7" s="27"/>
      <c r="R7" s="27"/>
      <c r="S7" s="27"/>
      <c r="T7" s="27"/>
      <c r="U7" s="27"/>
      <c r="V7" s="27"/>
      <c r="W7" s="13"/>
      <c r="X7" s="13"/>
      <c r="Y7" s="13"/>
      <c r="Z7" s="13"/>
      <c r="AA7" s="13"/>
      <c r="AB7" s="13"/>
      <c r="AC7" s="13"/>
    </row>
    <row r="8" spans="1:29" ht="22.5" customHeight="1" x14ac:dyDescent="0.15">
      <c r="A8" s="27"/>
      <c r="C8" s="12"/>
      <c r="D8" s="12"/>
      <c r="E8" s="12"/>
      <c r="F8" s="138"/>
      <c r="G8" s="27"/>
      <c r="H8" s="106"/>
      <c r="I8" s="106"/>
      <c r="J8" s="106"/>
      <c r="K8" s="13"/>
      <c r="L8" s="13"/>
      <c r="M8" s="13"/>
      <c r="N8" s="13"/>
      <c r="O8" s="13"/>
      <c r="P8" s="172"/>
      <c r="Q8" s="27"/>
      <c r="R8" s="27"/>
      <c r="S8" s="27"/>
      <c r="T8" s="27"/>
      <c r="U8" s="27"/>
      <c r="V8" s="27"/>
      <c r="W8" s="13"/>
      <c r="X8" s="13"/>
      <c r="Y8" s="13"/>
      <c r="Z8" s="13"/>
      <c r="AA8" s="13"/>
      <c r="AB8" s="13"/>
      <c r="AC8" s="13"/>
    </row>
    <row r="9" spans="1:29" ht="22.5" customHeight="1" x14ac:dyDescent="0.15">
      <c r="A9" s="27"/>
      <c r="B9" s="137"/>
      <c r="C9" s="12"/>
      <c r="D9" s="12"/>
      <c r="E9" s="12"/>
      <c r="F9" s="138"/>
      <c r="G9" s="27"/>
      <c r="H9" s="106"/>
      <c r="I9" s="106"/>
      <c r="J9" s="106"/>
      <c r="K9" s="13"/>
      <c r="L9" s="13"/>
      <c r="M9" s="13"/>
      <c r="N9" s="13"/>
      <c r="O9" s="13"/>
      <c r="P9" s="172"/>
      <c r="Q9" s="27"/>
      <c r="R9" s="27"/>
      <c r="S9" s="27"/>
      <c r="T9" s="27"/>
      <c r="U9" s="27"/>
      <c r="V9" s="27"/>
      <c r="W9" s="13"/>
      <c r="X9" s="13"/>
      <c r="Y9" s="13"/>
      <c r="Z9" s="13"/>
      <c r="AA9" s="13"/>
      <c r="AB9" s="13"/>
      <c r="AC9" s="13"/>
    </row>
    <row r="10" spans="1:29" ht="22.5" customHeight="1" x14ac:dyDescent="0.15">
      <c r="A10" s="27"/>
      <c r="B10" s="137"/>
      <c r="C10" s="12"/>
      <c r="D10" s="12"/>
      <c r="E10" s="12"/>
      <c r="F10" s="138"/>
      <c r="G10" s="27"/>
      <c r="H10" s="106"/>
      <c r="I10" s="106"/>
      <c r="J10" s="106"/>
      <c r="K10" s="13"/>
      <c r="L10" s="13"/>
      <c r="M10" s="13"/>
      <c r="N10" s="13"/>
      <c r="O10" s="13"/>
      <c r="P10" s="172"/>
      <c r="Q10" s="27"/>
      <c r="R10" s="27"/>
      <c r="S10" s="27"/>
      <c r="T10" s="27"/>
      <c r="U10" s="27"/>
      <c r="V10" s="27"/>
      <c r="W10" s="13"/>
      <c r="X10" s="13"/>
      <c r="Y10" s="13"/>
      <c r="Z10" s="13"/>
      <c r="AA10" s="13"/>
      <c r="AB10" s="13"/>
      <c r="AC10" s="13"/>
    </row>
    <row r="11" spans="1:29" ht="22.5" customHeight="1" x14ac:dyDescent="0.15">
      <c r="A11" s="27"/>
      <c r="B11" s="137"/>
      <c r="C11" s="12"/>
      <c r="D11" s="12"/>
      <c r="E11" s="12"/>
      <c r="F11" s="138"/>
      <c r="G11" s="27"/>
      <c r="H11" s="106"/>
      <c r="I11" s="106"/>
      <c r="J11" s="106"/>
      <c r="K11" s="13"/>
      <c r="L11" s="13"/>
      <c r="M11" s="13"/>
      <c r="N11" s="13"/>
      <c r="O11" s="13"/>
      <c r="P11" s="172"/>
      <c r="Q11" s="27"/>
      <c r="R11" s="27"/>
      <c r="S11" s="27"/>
      <c r="T11" s="27"/>
      <c r="U11" s="27"/>
      <c r="V11" s="27"/>
      <c r="W11" s="13"/>
      <c r="X11" s="13"/>
      <c r="Y11" s="13"/>
      <c r="Z11" s="13"/>
      <c r="AA11" s="13"/>
      <c r="AB11" s="13"/>
      <c r="AC11" s="13"/>
    </row>
    <row r="12" spans="1:29" ht="22.5" customHeight="1" x14ac:dyDescent="0.15">
      <c r="A12" s="27"/>
      <c r="B12" s="137"/>
      <c r="C12" s="12"/>
      <c r="D12" s="12"/>
      <c r="E12" s="12"/>
      <c r="F12" s="138"/>
      <c r="G12" s="27"/>
      <c r="H12" s="106"/>
      <c r="I12" s="106"/>
      <c r="J12" s="106"/>
      <c r="K12" s="13"/>
      <c r="L12" s="13"/>
      <c r="M12" s="13"/>
      <c r="N12" s="13"/>
      <c r="O12" s="13"/>
      <c r="P12" s="172"/>
      <c r="Q12" s="27"/>
      <c r="R12" s="27"/>
      <c r="S12" s="27"/>
      <c r="T12" s="27"/>
      <c r="U12" s="27"/>
      <c r="V12" s="27"/>
      <c r="W12" s="13"/>
      <c r="X12" s="13"/>
      <c r="Y12" s="13"/>
      <c r="Z12" s="13"/>
      <c r="AA12" s="13"/>
      <c r="AB12" s="13"/>
      <c r="AC12" s="13"/>
    </row>
    <row r="13" spans="1:29" ht="21" x14ac:dyDescent="0.15">
      <c r="A13" s="13"/>
      <c r="B13" s="74"/>
      <c r="C13" s="13"/>
      <c r="D13" s="13"/>
      <c r="E13" s="13"/>
      <c r="F13" s="137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spans="1:29" ht="22.5" customHeight="1" x14ac:dyDescent="0.15">
      <c r="A14" s="310" t="s">
        <v>286</v>
      </c>
      <c r="B14" s="261"/>
      <c r="C14" s="261"/>
      <c r="D14" s="261"/>
      <c r="E14" s="261"/>
      <c r="F14" s="261"/>
      <c r="G14" s="261"/>
      <c r="H14" s="261"/>
      <c r="I14" s="261"/>
      <c r="J14" s="261"/>
      <c r="K14" s="262"/>
      <c r="L14" s="251" t="s">
        <v>32</v>
      </c>
      <c r="M14" s="252"/>
      <c r="N14" s="252"/>
      <c r="O14" s="253"/>
      <c r="P14" s="311" t="s">
        <v>287</v>
      </c>
      <c r="Q14" s="252"/>
      <c r="R14" s="252"/>
      <c r="S14" s="252"/>
      <c r="T14" s="252"/>
      <c r="U14" s="252"/>
      <c r="V14" s="252"/>
      <c r="W14" s="253"/>
      <c r="X14" s="282" t="s">
        <v>98</v>
      </c>
      <c r="Y14" s="236"/>
      <c r="Z14" s="13"/>
      <c r="AA14" s="13"/>
      <c r="AB14" s="13"/>
      <c r="AC14" s="13"/>
    </row>
    <row r="15" spans="1:29" ht="39" customHeight="1" x14ac:dyDescent="0.15">
      <c r="A15" s="141" t="s">
        <v>288</v>
      </c>
      <c r="B15" s="142" t="s">
        <v>100</v>
      </c>
      <c r="C15" s="141" t="s">
        <v>52</v>
      </c>
      <c r="D15" s="144" t="s">
        <v>289</v>
      </c>
      <c r="E15" s="174" t="s">
        <v>290</v>
      </c>
      <c r="F15" s="141" t="s">
        <v>291</v>
      </c>
      <c r="G15" s="141" t="s">
        <v>292</v>
      </c>
      <c r="H15" s="141" t="s">
        <v>293</v>
      </c>
      <c r="I15" s="141" t="s">
        <v>294</v>
      </c>
      <c r="J15" s="142" t="s">
        <v>295</v>
      </c>
      <c r="K15" s="175" t="s">
        <v>296</v>
      </c>
      <c r="L15" s="47" t="s">
        <v>42</v>
      </c>
      <c r="M15" s="47" t="s">
        <v>46</v>
      </c>
      <c r="N15" s="47" t="s">
        <v>47</v>
      </c>
      <c r="O15" s="47" t="s">
        <v>48</v>
      </c>
      <c r="P15" s="80" t="s">
        <v>69</v>
      </c>
      <c r="Q15" s="80" t="s">
        <v>255</v>
      </c>
      <c r="R15" s="80" t="s">
        <v>256</v>
      </c>
      <c r="S15" s="44" t="s">
        <v>297</v>
      </c>
      <c r="T15" s="44" t="s">
        <v>298</v>
      </c>
      <c r="U15" s="44" t="s">
        <v>299</v>
      </c>
      <c r="V15" s="44" t="s">
        <v>300</v>
      </c>
      <c r="W15" s="44" t="s">
        <v>301</v>
      </c>
      <c r="X15" s="82" t="s">
        <v>114</v>
      </c>
      <c r="Y15" s="82" t="s">
        <v>113</v>
      </c>
      <c r="Z15" s="81"/>
      <c r="AA15" s="81"/>
      <c r="AB15" s="81"/>
      <c r="AC15" s="81"/>
    </row>
    <row r="16" spans="1:29" ht="224" x14ac:dyDescent="0.15">
      <c r="A16" s="176" t="s">
        <v>302</v>
      </c>
      <c r="B16" s="306" t="s">
        <v>162</v>
      </c>
      <c r="C16" s="307">
        <v>1</v>
      </c>
      <c r="D16" s="177"/>
      <c r="E16" s="177"/>
      <c r="F16" s="305" t="s">
        <v>303</v>
      </c>
      <c r="G16" s="309" t="s">
        <v>304</v>
      </c>
      <c r="H16" s="308" t="s">
        <v>305</v>
      </c>
      <c r="I16" s="313" t="s">
        <v>306</v>
      </c>
      <c r="J16" s="314" t="s">
        <v>307</v>
      </c>
      <c r="K16" s="315" t="s">
        <v>308</v>
      </c>
      <c r="L16" s="314" t="s">
        <v>93</v>
      </c>
      <c r="M16" s="312"/>
      <c r="N16" s="312"/>
      <c r="O16" s="312"/>
      <c r="P16" s="154" t="s">
        <v>309</v>
      </c>
      <c r="Q16" s="154" t="str">
        <f>"gio('page.set','"&amp;F16&amp;"','VALUE');"</f>
        <v>gio('page.set','analystScene_pvar','VALUE');</v>
      </c>
      <c r="R16" s="178" t="s">
        <v>310</v>
      </c>
      <c r="S16" s="154" t="str">
        <f>CONCATENATE("[Growing setPageVariableWithKey:"&amp;X16)</f>
        <v>[Growing setPageVariableWithKey:@"analystScene_pvar" andStringValue: @"VALUE"];</v>
      </c>
      <c r="T16" s="154" t="s">
        <v>311</v>
      </c>
      <c r="U16" s="154" t="str">
        <f>CONCATENATE("GrowingIO gio = GrowingIO.getInstance();
gio.setPageVariable"&amp;Y16)</f>
        <v>GrowingIO gio = GrowingIO.getInstance();
gio.setPageVariable("analystScene_pvar","VALUE");</v>
      </c>
      <c r="V16" s="154" t="s">
        <v>312</v>
      </c>
      <c r="W16" s="154" t="str">
        <f>"gio('setPage',{
'"&amp;F16&amp;"': 'VALUE'
});"</f>
        <v>gio('setPage',{
'analystScene_pvar': 'VALUE'
});</v>
      </c>
      <c r="X16" s="157" t="str">
        <f>CONCATENATE("@"""&amp;F16&amp;""" andStringValue: @""VALUE""];")</f>
        <v>@"analystScene_pvar" andStringValue: @"VALUE"];</v>
      </c>
      <c r="Y16" s="157" t="str">
        <f>CONCATENATE("("""&amp;F16&amp;""",""VALUE"");")</f>
        <v>("analystScene_pvar","VALUE");</v>
      </c>
      <c r="Z16" s="179"/>
      <c r="AA16" s="179"/>
      <c r="AB16" s="179"/>
      <c r="AC16" s="179"/>
    </row>
    <row r="17" spans="1:29" ht="23.25" customHeight="1" x14ac:dyDescent="0.15">
      <c r="A17" s="180"/>
      <c r="B17" s="277"/>
      <c r="C17" s="277"/>
      <c r="D17" s="177"/>
      <c r="E17" s="177"/>
      <c r="F17" s="277"/>
      <c r="G17" s="277"/>
      <c r="H17" s="277"/>
      <c r="I17" s="277"/>
      <c r="J17" s="277"/>
      <c r="K17" s="281"/>
      <c r="L17" s="277"/>
      <c r="M17" s="277"/>
      <c r="N17" s="277"/>
      <c r="O17" s="277"/>
      <c r="P17" s="162" t="s">
        <v>92</v>
      </c>
      <c r="Q17" s="161"/>
      <c r="R17" s="162" t="s">
        <v>92</v>
      </c>
      <c r="S17" s="161"/>
      <c r="T17" s="181" t="s">
        <v>92</v>
      </c>
      <c r="U17" s="182"/>
      <c r="V17" s="181" t="s">
        <v>92</v>
      </c>
      <c r="W17" s="169"/>
      <c r="X17" s="179"/>
      <c r="Y17" s="179"/>
      <c r="Z17" s="179"/>
      <c r="AA17" s="179"/>
      <c r="AB17" s="179"/>
      <c r="AC17" s="179"/>
    </row>
    <row r="18" spans="1:29" ht="23.25" customHeight="1" x14ac:dyDescent="0.15">
      <c r="A18" s="176"/>
      <c r="B18" s="183"/>
      <c r="C18" s="177"/>
      <c r="D18" s="177"/>
      <c r="E18" s="177"/>
      <c r="F18" s="177"/>
      <c r="G18" s="184"/>
      <c r="H18" s="184"/>
      <c r="I18" s="184"/>
      <c r="J18" s="184"/>
      <c r="K18" s="185"/>
      <c r="L18" s="100"/>
      <c r="M18" s="100"/>
      <c r="N18" s="100"/>
      <c r="O18" s="100"/>
      <c r="P18" s="186"/>
      <c r="Q18" s="186"/>
      <c r="R18" s="186"/>
      <c r="S18" s="186"/>
      <c r="T18" s="179"/>
      <c r="U18" s="179"/>
      <c r="V18" s="179"/>
      <c r="W18" s="179"/>
      <c r="X18" s="179"/>
      <c r="Y18" s="179"/>
      <c r="Z18" s="179"/>
      <c r="AA18" s="179"/>
      <c r="AB18" s="179"/>
      <c r="AC18" s="179"/>
    </row>
    <row r="19" spans="1:29" ht="19.5" customHeight="1" x14ac:dyDescent="0.15">
      <c r="A19" s="180"/>
      <c r="B19" s="183"/>
      <c r="C19" s="177"/>
      <c r="D19" s="177"/>
      <c r="E19" s="177"/>
      <c r="F19" s="177"/>
      <c r="G19" s="184"/>
      <c r="H19" s="184"/>
      <c r="I19" s="184"/>
      <c r="J19" s="184"/>
      <c r="K19" s="185"/>
      <c r="L19" s="89"/>
      <c r="M19" s="89"/>
      <c r="N19" s="89"/>
      <c r="O19" s="89"/>
      <c r="P19" s="186"/>
      <c r="Q19" s="186"/>
      <c r="R19" s="186"/>
      <c r="S19" s="186"/>
      <c r="T19" s="179"/>
      <c r="U19" s="179"/>
      <c r="V19" s="179"/>
      <c r="W19" s="179"/>
      <c r="X19" s="179"/>
      <c r="Y19" s="179"/>
      <c r="Z19" s="179"/>
      <c r="AA19" s="179"/>
      <c r="AB19" s="179"/>
      <c r="AC19" s="179"/>
    </row>
    <row r="20" spans="1:29" ht="19.5" customHeight="1" x14ac:dyDescent="0.15">
      <c r="A20" s="180"/>
      <c r="B20" s="183"/>
      <c r="C20" s="177"/>
      <c r="D20" s="177"/>
      <c r="E20" s="177"/>
      <c r="F20" s="177"/>
      <c r="G20" s="184"/>
      <c r="H20" s="184"/>
      <c r="I20" s="184"/>
      <c r="J20" s="184"/>
      <c r="K20" s="187"/>
      <c r="L20" s="89"/>
      <c r="M20" s="89"/>
      <c r="N20" s="89"/>
      <c r="O20" s="89"/>
      <c r="P20" s="186"/>
      <c r="Q20" s="186"/>
      <c r="R20" s="186"/>
      <c r="S20" s="186"/>
      <c r="T20" s="179"/>
      <c r="U20" s="179"/>
      <c r="V20" s="179"/>
      <c r="W20" s="179"/>
      <c r="X20" s="179"/>
      <c r="Y20" s="179"/>
      <c r="Z20" s="179"/>
      <c r="AA20" s="179"/>
      <c r="AB20" s="179"/>
      <c r="AC20" s="179"/>
    </row>
    <row r="21" spans="1:29" ht="19.5" customHeight="1" x14ac:dyDescent="0.15">
      <c r="A21" s="188"/>
      <c r="B21" s="103"/>
      <c r="C21" s="188"/>
      <c r="D21" s="188"/>
      <c r="E21" s="188"/>
      <c r="F21" s="188"/>
      <c r="G21" s="188"/>
      <c r="H21" s="188"/>
      <c r="I21" s="188"/>
      <c r="J21" s="188"/>
      <c r="K21" s="185"/>
      <c r="L21" s="89"/>
      <c r="M21" s="89"/>
      <c r="N21" s="89"/>
      <c r="O21" s="89"/>
      <c r="P21" s="186"/>
      <c r="Q21" s="186"/>
      <c r="R21" s="186"/>
      <c r="S21" s="186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</row>
    <row r="22" spans="1:29" ht="19.5" customHeight="1" x14ac:dyDescent="0.15">
      <c r="A22" s="188"/>
      <c r="B22" s="103"/>
      <c r="C22" s="188"/>
      <c r="D22" s="188"/>
      <c r="E22" s="188"/>
      <c r="F22" s="188"/>
      <c r="G22" s="188"/>
      <c r="H22" s="188"/>
      <c r="I22" s="188"/>
      <c r="J22" s="188"/>
      <c r="K22" s="185"/>
      <c r="L22" s="89"/>
      <c r="M22" s="89"/>
      <c r="N22" s="89"/>
      <c r="O22" s="89"/>
      <c r="P22" s="186"/>
      <c r="Q22" s="186"/>
      <c r="R22" s="186"/>
      <c r="S22" s="186"/>
      <c r="T22" s="179"/>
      <c r="U22" s="179"/>
      <c r="V22" s="179"/>
      <c r="W22" s="179"/>
      <c r="X22" s="179"/>
      <c r="Y22" s="179"/>
      <c r="Z22" s="179"/>
      <c r="AA22" s="179"/>
      <c r="AB22" s="179"/>
      <c r="AC22" s="179"/>
    </row>
    <row r="23" spans="1:29" ht="19.5" customHeight="1" x14ac:dyDescent="0.15">
      <c r="A23" s="188"/>
      <c r="B23" s="103"/>
      <c r="C23" s="188"/>
      <c r="D23" s="188"/>
      <c r="E23" s="188"/>
      <c r="F23" s="188"/>
      <c r="G23" s="188"/>
      <c r="H23" s="188"/>
      <c r="I23" s="188"/>
      <c r="J23" s="188"/>
      <c r="K23" s="185"/>
      <c r="L23" s="89"/>
      <c r="M23" s="89"/>
      <c r="N23" s="89"/>
      <c r="O23" s="89"/>
      <c r="P23" s="186"/>
      <c r="Q23" s="186"/>
      <c r="R23" s="186"/>
      <c r="S23" s="186"/>
      <c r="T23" s="179"/>
      <c r="U23" s="179"/>
      <c r="V23" s="179"/>
      <c r="W23" s="179"/>
      <c r="X23" s="179"/>
      <c r="Y23" s="179"/>
      <c r="Z23" s="179"/>
      <c r="AA23" s="179"/>
      <c r="AB23" s="179"/>
      <c r="AC23" s="179"/>
    </row>
    <row r="24" spans="1:29" ht="19.5" customHeight="1" x14ac:dyDescent="0.15">
      <c r="A24" s="188"/>
      <c r="B24" s="103"/>
      <c r="C24" s="188"/>
      <c r="D24" s="188"/>
      <c r="E24" s="188"/>
      <c r="F24" s="188"/>
      <c r="G24" s="188"/>
      <c r="H24" s="188"/>
      <c r="I24" s="188"/>
      <c r="J24" s="188"/>
      <c r="K24" s="188"/>
      <c r="L24" s="89"/>
      <c r="M24" s="89"/>
      <c r="N24" s="89"/>
      <c r="O24" s="89"/>
      <c r="P24" s="186"/>
      <c r="Q24" s="186"/>
      <c r="R24" s="186"/>
      <c r="S24" s="186"/>
      <c r="T24" s="179"/>
      <c r="U24" s="179"/>
      <c r="V24" s="179"/>
      <c r="W24" s="179"/>
      <c r="X24" s="179"/>
      <c r="Y24" s="179"/>
      <c r="Z24" s="179"/>
      <c r="AA24" s="179"/>
      <c r="AB24" s="179"/>
      <c r="AC24" s="179"/>
    </row>
    <row r="25" spans="1:29" ht="19.5" customHeight="1" x14ac:dyDescent="0.15">
      <c r="A25" s="188"/>
      <c r="B25" s="103"/>
      <c r="C25" s="188"/>
      <c r="D25" s="188"/>
      <c r="E25" s="188"/>
      <c r="F25" s="188"/>
      <c r="G25" s="188"/>
      <c r="H25" s="188"/>
      <c r="I25" s="188"/>
      <c r="J25" s="188"/>
      <c r="K25" s="188"/>
      <c r="L25" s="89"/>
      <c r="M25" s="89"/>
      <c r="N25" s="89"/>
      <c r="O25" s="89"/>
      <c r="P25" s="186"/>
      <c r="Q25" s="186"/>
      <c r="R25" s="186"/>
      <c r="S25" s="186"/>
      <c r="T25" s="179"/>
      <c r="U25" s="179"/>
      <c r="V25" s="179"/>
      <c r="W25" s="179"/>
      <c r="X25" s="179"/>
      <c r="Y25" s="179"/>
      <c r="Z25" s="179"/>
      <c r="AA25" s="179"/>
      <c r="AB25" s="179"/>
      <c r="AC25" s="179"/>
    </row>
    <row r="26" spans="1:29" ht="19.5" customHeight="1" x14ac:dyDescent="0.15">
      <c r="A26" s="188"/>
      <c r="B26" s="103"/>
      <c r="C26" s="188"/>
      <c r="D26" s="188"/>
      <c r="E26" s="188"/>
      <c r="F26" s="188"/>
      <c r="G26" s="188"/>
      <c r="H26" s="188"/>
      <c r="I26" s="188"/>
      <c r="J26" s="188"/>
      <c r="K26" s="188"/>
      <c r="L26" s="89"/>
      <c r="M26" s="89"/>
      <c r="N26" s="89"/>
      <c r="O26" s="89"/>
      <c r="P26" s="186"/>
      <c r="Q26" s="186"/>
      <c r="R26" s="186"/>
      <c r="S26" s="186"/>
      <c r="T26" s="179"/>
      <c r="U26" s="179"/>
      <c r="V26" s="179"/>
      <c r="W26" s="179"/>
      <c r="X26" s="179"/>
      <c r="Y26" s="179"/>
      <c r="Z26" s="179"/>
      <c r="AA26" s="179"/>
      <c r="AB26" s="179"/>
      <c r="AC26" s="179"/>
    </row>
    <row r="27" spans="1:29" ht="19.5" customHeight="1" x14ac:dyDescent="0.15">
      <c r="A27" s="188"/>
      <c r="B27" s="103"/>
      <c r="C27" s="188"/>
      <c r="D27" s="188"/>
      <c r="E27" s="188"/>
      <c r="F27" s="188"/>
      <c r="G27" s="188"/>
      <c r="H27" s="188"/>
      <c r="I27" s="188"/>
      <c r="J27" s="188"/>
      <c r="K27" s="188"/>
      <c r="L27" s="89"/>
      <c r="M27" s="89"/>
      <c r="N27" s="89"/>
      <c r="O27" s="89"/>
      <c r="P27" s="186"/>
      <c r="Q27" s="186"/>
      <c r="R27" s="186"/>
      <c r="S27" s="186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</row>
    <row r="28" spans="1:29" ht="19.5" customHeight="1" x14ac:dyDescent="0.15">
      <c r="A28" s="188"/>
      <c r="B28" s="103"/>
      <c r="C28" s="188"/>
      <c r="D28" s="188"/>
      <c r="E28" s="188"/>
      <c r="F28" s="188"/>
      <c r="G28" s="188"/>
      <c r="H28" s="188"/>
      <c r="I28" s="188"/>
      <c r="J28" s="188"/>
      <c r="K28" s="188"/>
      <c r="L28" s="89"/>
      <c r="M28" s="89"/>
      <c r="N28" s="89"/>
      <c r="O28" s="89"/>
      <c r="P28" s="186"/>
      <c r="Q28" s="186"/>
      <c r="R28" s="186"/>
      <c r="S28" s="186"/>
      <c r="T28" s="179"/>
      <c r="U28" s="179"/>
      <c r="V28" s="179"/>
      <c r="W28" s="179"/>
      <c r="X28" s="179"/>
      <c r="Y28" s="179"/>
      <c r="Z28" s="179"/>
      <c r="AA28" s="179"/>
      <c r="AB28" s="179"/>
      <c r="AC28" s="179"/>
    </row>
    <row r="29" spans="1:29" ht="19.5" customHeight="1" x14ac:dyDescent="0.15">
      <c r="A29" s="188"/>
      <c r="B29" s="103"/>
      <c r="C29" s="188"/>
      <c r="D29" s="188"/>
      <c r="E29" s="188"/>
      <c r="F29" s="188"/>
      <c r="G29" s="188"/>
      <c r="H29" s="188"/>
      <c r="I29" s="188"/>
      <c r="J29" s="188"/>
      <c r="K29" s="188"/>
      <c r="L29" s="89"/>
      <c r="M29" s="89"/>
      <c r="N29" s="89"/>
      <c r="O29" s="89"/>
      <c r="P29" s="186"/>
      <c r="Q29" s="186"/>
      <c r="R29" s="186"/>
      <c r="S29" s="186"/>
      <c r="T29" s="179"/>
      <c r="U29" s="179"/>
      <c r="V29" s="179"/>
      <c r="W29" s="179"/>
      <c r="X29" s="179"/>
      <c r="Y29" s="179"/>
      <c r="Z29" s="179"/>
      <c r="AA29" s="179"/>
      <c r="AB29" s="179"/>
      <c r="AC29" s="179"/>
    </row>
    <row r="30" spans="1:29" ht="19.5" customHeight="1" x14ac:dyDescent="0.15">
      <c r="A30" s="188"/>
      <c r="B30" s="103"/>
      <c r="C30" s="188"/>
      <c r="D30" s="188"/>
      <c r="E30" s="188"/>
      <c r="F30" s="188"/>
      <c r="G30" s="188"/>
      <c r="H30" s="188"/>
      <c r="I30" s="188"/>
      <c r="J30" s="188"/>
      <c r="K30" s="188"/>
      <c r="L30" s="89"/>
      <c r="M30" s="89"/>
      <c r="N30" s="89"/>
      <c r="O30" s="89"/>
      <c r="P30" s="186"/>
      <c r="Q30" s="186"/>
      <c r="R30" s="186"/>
      <c r="S30" s="186"/>
      <c r="T30" s="179"/>
      <c r="U30" s="179"/>
      <c r="V30" s="179"/>
      <c r="W30" s="179"/>
      <c r="X30" s="179"/>
      <c r="Y30" s="179"/>
      <c r="Z30" s="179"/>
      <c r="AA30" s="179"/>
      <c r="AB30" s="179"/>
      <c r="AC30" s="179"/>
    </row>
    <row r="31" spans="1:29" ht="19.5" customHeight="1" x14ac:dyDescent="0.15">
      <c r="A31" s="188"/>
      <c r="B31" s="103"/>
      <c r="C31" s="188"/>
      <c r="D31" s="188"/>
      <c r="E31" s="188"/>
      <c r="F31" s="188"/>
      <c r="G31" s="188"/>
      <c r="H31" s="188"/>
      <c r="I31" s="188"/>
      <c r="J31" s="188"/>
      <c r="K31" s="188"/>
      <c r="L31" s="89"/>
      <c r="M31" s="89"/>
      <c r="N31" s="89"/>
      <c r="O31" s="89"/>
      <c r="P31" s="186"/>
      <c r="Q31" s="186"/>
      <c r="R31" s="186"/>
      <c r="S31" s="186"/>
      <c r="T31" s="179"/>
      <c r="U31" s="179"/>
      <c r="V31" s="179"/>
      <c r="W31" s="179"/>
      <c r="X31" s="179"/>
      <c r="Y31" s="179"/>
      <c r="Z31" s="179"/>
      <c r="AA31" s="179"/>
      <c r="AB31" s="179"/>
      <c r="AC31" s="179"/>
    </row>
    <row r="32" spans="1:29" ht="19.5" customHeight="1" x14ac:dyDescent="0.15">
      <c r="A32" s="188"/>
      <c r="B32" s="103"/>
      <c r="C32" s="188"/>
      <c r="D32" s="188"/>
      <c r="E32" s="188"/>
      <c r="F32" s="188"/>
      <c r="G32" s="188"/>
      <c r="H32" s="188"/>
      <c r="I32" s="188"/>
      <c r="J32" s="188"/>
      <c r="K32" s="188"/>
      <c r="L32" s="89"/>
      <c r="M32" s="89"/>
      <c r="N32" s="89"/>
      <c r="O32" s="89"/>
      <c r="P32" s="186"/>
      <c r="Q32" s="186"/>
      <c r="R32" s="186"/>
      <c r="S32" s="186"/>
      <c r="T32" s="179"/>
      <c r="U32" s="179"/>
      <c r="V32" s="179"/>
      <c r="W32" s="179"/>
      <c r="X32" s="179"/>
      <c r="Y32" s="179"/>
      <c r="Z32" s="179"/>
      <c r="AA32" s="179"/>
      <c r="AB32" s="179"/>
      <c r="AC32" s="179"/>
    </row>
    <row r="33" spans="1:29" ht="19.5" customHeight="1" x14ac:dyDescent="0.15">
      <c r="A33" s="188"/>
      <c r="B33" s="103"/>
      <c r="C33" s="188"/>
      <c r="D33" s="188"/>
      <c r="E33" s="188"/>
      <c r="F33" s="188"/>
      <c r="G33" s="188"/>
      <c r="H33" s="188"/>
      <c r="I33" s="188"/>
      <c r="J33" s="188"/>
      <c r="K33" s="188"/>
      <c r="L33" s="89"/>
      <c r="M33" s="89"/>
      <c r="N33" s="89"/>
      <c r="O33" s="89"/>
      <c r="P33" s="186"/>
      <c r="Q33" s="186"/>
      <c r="R33" s="186"/>
      <c r="S33" s="186"/>
      <c r="T33" s="179"/>
      <c r="U33" s="179"/>
      <c r="V33" s="179"/>
      <c r="W33" s="179"/>
      <c r="X33" s="179"/>
      <c r="Y33" s="179"/>
      <c r="Z33" s="179"/>
      <c r="AA33" s="179"/>
      <c r="AB33" s="179"/>
      <c r="AC33" s="179"/>
    </row>
    <row r="34" spans="1:29" ht="19.5" customHeight="1" x14ac:dyDescent="0.15">
      <c r="A34" s="188"/>
      <c r="B34" s="103"/>
      <c r="C34" s="188"/>
      <c r="D34" s="188"/>
      <c r="E34" s="188"/>
      <c r="F34" s="188"/>
      <c r="G34" s="188"/>
      <c r="H34" s="188"/>
      <c r="I34" s="188"/>
      <c r="J34" s="188"/>
      <c r="K34" s="188"/>
      <c r="L34" s="89"/>
      <c r="M34" s="89"/>
      <c r="N34" s="89"/>
      <c r="O34" s="89"/>
      <c r="P34" s="186"/>
      <c r="Q34" s="186"/>
      <c r="R34" s="186"/>
      <c r="S34" s="186"/>
      <c r="T34" s="179"/>
      <c r="U34" s="179"/>
      <c r="V34" s="179"/>
      <c r="W34" s="179"/>
      <c r="X34" s="179"/>
      <c r="Y34" s="179"/>
      <c r="Z34" s="179"/>
      <c r="AA34" s="179"/>
      <c r="AB34" s="179"/>
      <c r="AC34" s="179"/>
    </row>
    <row r="35" spans="1:29" ht="19.5" customHeight="1" x14ac:dyDescent="0.15">
      <c r="A35" s="188"/>
      <c r="B35" s="103"/>
      <c r="C35" s="188"/>
      <c r="D35" s="188"/>
      <c r="E35" s="188"/>
      <c r="F35" s="188"/>
      <c r="G35" s="188"/>
      <c r="H35" s="188"/>
      <c r="I35" s="188"/>
      <c r="J35" s="188"/>
      <c r="K35" s="188"/>
      <c r="L35" s="89"/>
      <c r="M35" s="89"/>
      <c r="N35" s="89"/>
      <c r="O35" s="89"/>
      <c r="P35" s="186"/>
      <c r="Q35" s="186"/>
      <c r="R35" s="186"/>
      <c r="S35" s="186"/>
      <c r="T35" s="179"/>
      <c r="U35" s="179"/>
      <c r="V35" s="179"/>
      <c r="W35" s="179"/>
      <c r="X35" s="179"/>
      <c r="Y35" s="179"/>
      <c r="Z35" s="179"/>
      <c r="AA35" s="179"/>
      <c r="AB35" s="179"/>
      <c r="AC35" s="179"/>
    </row>
    <row r="36" spans="1:29" ht="19.5" customHeight="1" x14ac:dyDescent="0.15">
      <c r="A36" s="188"/>
      <c r="B36" s="103"/>
      <c r="C36" s="188"/>
      <c r="D36" s="188"/>
      <c r="E36" s="188"/>
      <c r="F36" s="188"/>
      <c r="G36" s="188"/>
      <c r="H36" s="188"/>
      <c r="I36" s="188"/>
      <c r="J36" s="188"/>
      <c r="K36" s="188"/>
      <c r="L36" s="89"/>
      <c r="M36" s="89"/>
      <c r="N36" s="89"/>
      <c r="O36" s="89"/>
      <c r="P36" s="186"/>
      <c r="Q36" s="186"/>
      <c r="R36" s="186"/>
      <c r="S36" s="186"/>
      <c r="T36" s="179"/>
      <c r="U36" s="179"/>
      <c r="V36" s="179"/>
      <c r="W36" s="179"/>
      <c r="X36" s="179"/>
      <c r="Y36" s="179"/>
      <c r="Z36" s="179"/>
      <c r="AA36" s="179"/>
      <c r="AB36" s="179"/>
      <c r="AC36" s="179"/>
    </row>
    <row r="37" spans="1:29" ht="19.5" customHeight="1" x14ac:dyDescent="0.15">
      <c r="A37" s="188"/>
      <c r="B37" s="103"/>
      <c r="C37" s="188"/>
      <c r="D37" s="188"/>
      <c r="E37" s="188"/>
      <c r="F37" s="188"/>
      <c r="G37" s="188"/>
      <c r="H37" s="188"/>
      <c r="I37" s="188"/>
      <c r="J37" s="188"/>
      <c r="K37" s="188"/>
      <c r="L37" s="89"/>
      <c r="M37" s="89"/>
      <c r="N37" s="89"/>
      <c r="O37" s="89"/>
      <c r="P37" s="186"/>
      <c r="Q37" s="186"/>
      <c r="R37" s="186"/>
      <c r="S37" s="186"/>
      <c r="T37" s="179"/>
      <c r="U37" s="179"/>
      <c r="V37" s="179"/>
      <c r="W37" s="179"/>
      <c r="X37" s="179"/>
      <c r="Y37" s="179"/>
      <c r="Z37" s="179"/>
      <c r="AA37" s="179"/>
      <c r="AB37" s="179"/>
      <c r="AC37" s="179"/>
    </row>
    <row r="38" spans="1:29" ht="19.5" customHeight="1" x14ac:dyDescent="0.15">
      <c r="A38" s="61"/>
      <c r="B38" s="74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 spans="1:29" ht="19.5" customHeight="1" x14ac:dyDescent="0.15">
      <c r="A39" s="61"/>
      <c r="B39" s="74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 spans="1:29" ht="19.5" customHeight="1" x14ac:dyDescent="0.15">
      <c r="A40" s="61"/>
      <c r="B40" s="74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 spans="1:29" ht="19.5" customHeight="1" x14ac:dyDescent="0.15">
      <c r="A41" s="61"/>
      <c r="B41" s="74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 spans="1:29" ht="19.5" customHeight="1" x14ac:dyDescent="0.15">
      <c r="A42" s="61"/>
      <c r="B42" s="74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 spans="1:29" ht="19.5" customHeight="1" x14ac:dyDescent="0.15">
      <c r="A43" s="61"/>
      <c r="B43" s="74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 spans="1:29" ht="19.5" customHeight="1" x14ac:dyDescent="0.15">
      <c r="A44" s="61"/>
      <c r="B44" s="74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 spans="1:29" ht="19.5" customHeight="1" x14ac:dyDescent="0.15">
      <c r="A45" s="61"/>
      <c r="B45" s="74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 spans="1:29" ht="19.5" customHeight="1" x14ac:dyDescent="0.15">
      <c r="A46" s="61"/>
      <c r="B46" s="74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 spans="1:29" ht="19.5" customHeight="1" x14ac:dyDescent="0.15">
      <c r="A47" s="61"/>
      <c r="B47" s="74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 spans="1:29" ht="19.5" customHeight="1" x14ac:dyDescent="0.15">
      <c r="A48" s="61"/>
      <c r="B48" s="74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 spans="1:29" ht="19.5" customHeight="1" x14ac:dyDescent="0.15">
      <c r="A49" s="61"/>
      <c r="B49" s="74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 spans="1:29" ht="19.5" customHeight="1" x14ac:dyDescent="0.15">
      <c r="A50" s="61"/>
      <c r="B50" s="74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 spans="1:29" ht="19.5" customHeight="1" x14ac:dyDescent="0.15">
      <c r="A51" s="61"/>
      <c r="B51" s="74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 spans="1:29" ht="19.5" customHeight="1" x14ac:dyDescent="0.15">
      <c r="A52" s="61"/>
      <c r="B52" s="74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 spans="1:29" ht="19.5" customHeight="1" x14ac:dyDescent="0.15">
      <c r="A53" s="61"/>
      <c r="B53" s="74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 spans="1:29" ht="19.5" customHeight="1" x14ac:dyDescent="0.15">
      <c r="A54" s="61"/>
      <c r="B54" s="74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 spans="1:29" ht="19.5" customHeight="1" x14ac:dyDescent="0.15">
      <c r="A55" s="61"/>
      <c r="B55" s="74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 spans="1:29" ht="19.5" customHeight="1" x14ac:dyDescent="0.15">
      <c r="A56" s="61"/>
      <c r="B56" s="74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 spans="1:29" ht="19.5" customHeight="1" x14ac:dyDescent="0.15">
      <c r="A57" s="61"/>
      <c r="B57" s="74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 spans="1:29" ht="19.5" customHeight="1" x14ac:dyDescent="0.15">
      <c r="A58" s="61"/>
      <c r="B58" s="74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 spans="1:29" ht="19.5" customHeight="1" x14ac:dyDescent="0.15">
      <c r="A59" s="61"/>
      <c r="B59" s="74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 spans="1:29" ht="19.5" customHeight="1" x14ac:dyDescent="0.15">
      <c r="A60" s="61"/>
      <c r="B60" s="74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 spans="1:29" ht="19.5" customHeight="1" x14ac:dyDescent="0.15">
      <c r="A61" s="61"/>
      <c r="B61" s="74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 spans="1:29" ht="19.5" customHeight="1" x14ac:dyDescent="0.15">
      <c r="A62" s="61"/>
      <c r="B62" s="74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 spans="1:29" ht="19.5" customHeight="1" x14ac:dyDescent="0.15">
      <c r="A63" s="61"/>
      <c r="B63" s="74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 spans="1:29" ht="19.5" customHeight="1" x14ac:dyDescent="0.15">
      <c r="A64" s="61"/>
      <c r="B64" s="74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 spans="1:29" ht="19.5" customHeight="1" x14ac:dyDescent="0.15">
      <c r="A65" s="61"/>
      <c r="B65" s="74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 spans="1:29" ht="19.5" customHeight="1" x14ac:dyDescent="0.15">
      <c r="A66" s="61"/>
      <c r="B66" s="74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 spans="1:29" ht="19.5" customHeight="1" x14ac:dyDescent="0.15">
      <c r="A67" s="61"/>
      <c r="B67" s="74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 spans="1:29" ht="19.5" customHeight="1" x14ac:dyDescent="0.15">
      <c r="A68" s="61"/>
      <c r="B68" s="74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 spans="1:29" ht="19.5" customHeight="1" x14ac:dyDescent="0.15">
      <c r="A69" s="61"/>
      <c r="B69" s="74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 spans="1:29" ht="19.5" customHeight="1" x14ac:dyDescent="0.15">
      <c r="A70" s="61"/>
      <c r="B70" s="74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 spans="1:29" ht="19.5" customHeight="1" x14ac:dyDescent="0.15">
      <c r="A71" s="61"/>
      <c r="B71" s="74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 spans="1:29" ht="19.5" customHeight="1" x14ac:dyDescent="0.15">
      <c r="A72" s="61"/>
      <c r="B72" s="74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 spans="1:29" ht="19.5" customHeight="1" x14ac:dyDescent="0.15">
      <c r="A73" s="61"/>
      <c r="B73" s="74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1:29" ht="19.5" customHeight="1" x14ac:dyDescent="0.15">
      <c r="A74" s="61"/>
      <c r="B74" s="74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 spans="1:29" ht="19.5" customHeight="1" x14ac:dyDescent="0.15">
      <c r="A75" s="61"/>
      <c r="B75" s="74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 spans="1:29" ht="19.5" customHeight="1" x14ac:dyDescent="0.15">
      <c r="A76" s="61"/>
      <c r="B76" s="74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 spans="1:29" ht="19.5" customHeight="1" x14ac:dyDescent="0.15">
      <c r="A77" s="61"/>
      <c r="B77" s="74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 spans="1:29" ht="19.5" customHeight="1" x14ac:dyDescent="0.15">
      <c r="A78" s="61"/>
      <c r="B78" s="74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 spans="1:29" ht="19.5" customHeight="1" x14ac:dyDescent="0.15">
      <c r="A79" s="61"/>
      <c r="B79" s="74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 spans="1:29" ht="19.5" customHeight="1" x14ac:dyDescent="0.15">
      <c r="A80" s="61"/>
      <c r="B80" s="74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 spans="1:29" ht="19.5" customHeight="1" x14ac:dyDescent="0.15">
      <c r="A81" s="61"/>
      <c r="B81" s="74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 spans="1:29" ht="19.5" customHeight="1" x14ac:dyDescent="0.15">
      <c r="A82" s="61"/>
      <c r="B82" s="74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 spans="1:29" ht="19.5" customHeight="1" x14ac:dyDescent="0.15">
      <c r="A83" s="61"/>
      <c r="B83" s="74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 spans="1:29" ht="19.5" customHeight="1" x14ac:dyDescent="0.15">
      <c r="A84" s="61"/>
      <c r="B84" s="74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 spans="1:29" ht="19.5" customHeight="1" x14ac:dyDescent="0.15">
      <c r="A85" s="61"/>
      <c r="B85" s="74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 spans="1:29" ht="19.5" customHeight="1" x14ac:dyDescent="0.15">
      <c r="A86" s="61"/>
      <c r="B86" s="74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 spans="1:29" ht="19.5" customHeight="1" x14ac:dyDescent="0.15">
      <c r="A87" s="61"/>
      <c r="B87" s="74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 spans="1:29" ht="19.5" customHeight="1" x14ac:dyDescent="0.15">
      <c r="A88" s="61"/>
      <c r="B88" s="74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 spans="1:29" ht="19.5" customHeight="1" x14ac:dyDescent="0.15">
      <c r="A89" s="61"/>
      <c r="B89" s="74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 spans="1:29" ht="19.5" customHeight="1" x14ac:dyDescent="0.15">
      <c r="A90" s="61"/>
      <c r="B90" s="74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 spans="1:29" ht="19.5" customHeight="1" x14ac:dyDescent="0.15">
      <c r="A91" s="61"/>
      <c r="B91" s="74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 spans="1:29" ht="19.5" customHeight="1" x14ac:dyDescent="0.15">
      <c r="A92" s="13"/>
      <c r="B92" s="74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 spans="1:29" ht="19.5" customHeight="1" x14ac:dyDescent="0.15">
      <c r="A93" s="13"/>
      <c r="B93" s="74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 spans="1:29" ht="19.5" customHeight="1" x14ac:dyDescent="0.15">
      <c r="A94" s="13"/>
      <c r="B94" s="74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 spans="1:29" ht="19.5" customHeight="1" x14ac:dyDescent="0.15">
      <c r="A95" s="13"/>
      <c r="B95" s="74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 spans="1:29" ht="19.5" customHeight="1" x14ac:dyDescent="0.15">
      <c r="A96" s="13"/>
      <c r="B96" s="74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 spans="1:29" ht="19.5" customHeight="1" x14ac:dyDescent="0.15">
      <c r="A97" s="13"/>
      <c r="B97" s="74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 spans="1:29" ht="19.5" customHeight="1" x14ac:dyDescent="0.15">
      <c r="A98" s="13"/>
      <c r="B98" s="74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 spans="1:29" ht="19.5" customHeight="1" x14ac:dyDescent="0.15">
      <c r="A99" s="13"/>
      <c r="B99" s="74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 spans="1:29" ht="19.5" customHeight="1" x14ac:dyDescent="0.15">
      <c r="A100" s="13"/>
      <c r="B100" s="74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 spans="1:29" ht="19.5" customHeight="1" x14ac:dyDescent="0.15">
      <c r="A101" s="13"/>
      <c r="B101" s="74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 spans="1:29" ht="19.5" customHeight="1" x14ac:dyDescent="0.15">
      <c r="A102" s="13"/>
      <c r="B102" s="74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 spans="1:29" ht="19.5" customHeight="1" x14ac:dyDescent="0.15">
      <c r="A103" s="13"/>
      <c r="B103" s="74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 spans="1:29" ht="19.5" customHeight="1" x14ac:dyDescent="0.15">
      <c r="A104" s="13"/>
      <c r="B104" s="74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 spans="1:29" ht="19.5" customHeight="1" x14ac:dyDescent="0.15">
      <c r="A105" s="13"/>
      <c r="B105" s="74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 spans="1:29" ht="19.5" customHeight="1" x14ac:dyDescent="0.15">
      <c r="A106" s="13"/>
      <c r="B106" s="74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 spans="1:29" ht="19.5" customHeight="1" x14ac:dyDescent="0.15">
      <c r="A107" s="13"/>
      <c r="B107" s="74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 spans="1:29" ht="19.5" customHeight="1" x14ac:dyDescent="0.15">
      <c r="A108" s="13"/>
      <c r="B108" s="74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 spans="1:29" ht="19.5" customHeight="1" x14ac:dyDescent="0.15">
      <c r="A109" s="13"/>
      <c r="B109" s="74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 spans="1:29" ht="19.5" customHeight="1" x14ac:dyDescent="0.15">
      <c r="A110" s="13"/>
      <c r="B110" s="74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 spans="1:29" ht="19.5" customHeight="1" x14ac:dyDescent="0.15">
      <c r="A111" s="13"/>
      <c r="B111" s="74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 spans="1:29" ht="19.5" customHeight="1" x14ac:dyDescent="0.15">
      <c r="A112" s="13"/>
      <c r="B112" s="74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 spans="1:29" ht="19.5" customHeight="1" x14ac:dyDescent="0.15">
      <c r="A113" s="13"/>
      <c r="B113" s="74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 spans="1:29" ht="19.5" customHeight="1" x14ac:dyDescent="0.15">
      <c r="A114" s="13"/>
      <c r="B114" s="74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 spans="1:29" ht="19.5" customHeight="1" x14ac:dyDescent="0.15">
      <c r="A115" s="13"/>
      <c r="B115" s="74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 spans="1:29" ht="19.5" customHeight="1" x14ac:dyDescent="0.15">
      <c r="A116" s="13"/>
      <c r="B116" s="74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 spans="1:29" ht="19.5" customHeight="1" x14ac:dyDescent="0.15">
      <c r="A117" s="13"/>
      <c r="B117" s="74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 spans="1:29" ht="19.5" customHeight="1" x14ac:dyDescent="0.15">
      <c r="A118" s="13"/>
      <c r="B118" s="74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 spans="1:29" ht="19.5" customHeight="1" x14ac:dyDescent="0.15">
      <c r="A119" s="13"/>
      <c r="B119" s="74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 spans="1:29" ht="19.5" customHeight="1" x14ac:dyDescent="0.15">
      <c r="A120" s="13"/>
      <c r="B120" s="74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 spans="1:29" ht="19.5" customHeight="1" x14ac:dyDescent="0.15">
      <c r="A121" s="13"/>
      <c r="B121" s="74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 spans="1:29" ht="19.5" customHeight="1" x14ac:dyDescent="0.15">
      <c r="A122" s="13"/>
      <c r="B122" s="74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 spans="1:29" ht="19.5" customHeight="1" x14ac:dyDescent="0.15">
      <c r="A123" s="13"/>
      <c r="B123" s="74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 spans="1:29" ht="19.5" customHeight="1" x14ac:dyDescent="0.15">
      <c r="A124" s="13"/>
      <c r="B124" s="74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 spans="1:29" ht="19.5" customHeight="1" x14ac:dyDescent="0.15">
      <c r="A125" s="13"/>
      <c r="B125" s="74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 spans="1:29" ht="19.5" customHeight="1" x14ac:dyDescent="0.15">
      <c r="A126" s="13"/>
      <c r="B126" s="74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 spans="1:29" ht="19.5" customHeight="1" x14ac:dyDescent="0.15">
      <c r="A127" s="13"/>
      <c r="B127" s="74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 spans="1:29" ht="19.5" customHeight="1" x14ac:dyDescent="0.15">
      <c r="A128" s="13"/>
      <c r="B128" s="74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 spans="1:29" ht="19.5" customHeight="1" x14ac:dyDescent="0.15">
      <c r="A129" s="13"/>
      <c r="B129" s="74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 spans="1:29" ht="19.5" customHeight="1" x14ac:dyDescent="0.15">
      <c r="A130" s="13"/>
      <c r="B130" s="74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 spans="1:29" ht="19.5" customHeight="1" x14ac:dyDescent="0.15">
      <c r="A131" s="13"/>
      <c r="B131" s="74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 spans="1:29" ht="19.5" customHeight="1" x14ac:dyDescent="0.15">
      <c r="A132" s="13"/>
      <c r="B132" s="74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 spans="1:29" ht="19.5" customHeight="1" x14ac:dyDescent="0.15">
      <c r="A133" s="13"/>
      <c r="B133" s="74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 spans="1:29" ht="19.5" customHeight="1" x14ac:dyDescent="0.15">
      <c r="A134" s="13"/>
      <c r="B134" s="74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 spans="1:29" ht="19.5" customHeight="1" x14ac:dyDescent="0.15">
      <c r="A135" s="13"/>
      <c r="B135" s="74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 spans="1:29" ht="19.5" customHeight="1" x14ac:dyDescent="0.15">
      <c r="A136" s="13"/>
      <c r="B136" s="74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 spans="1:29" ht="19.5" customHeight="1" x14ac:dyDescent="0.15">
      <c r="A137" s="13"/>
      <c r="B137" s="74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 spans="1:29" ht="19.5" customHeight="1" x14ac:dyDescent="0.15">
      <c r="A138" s="13"/>
      <c r="B138" s="74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 spans="1:29" ht="19.5" customHeight="1" x14ac:dyDescent="0.15">
      <c r="A139" s="13"/>
      <c r="B139" s="74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 spans="1:29" ht="19.5" customHeight="1" x14ac:dyDescent="0.15">
      <c r="A140" s="13"/>
      <c r="B140" s="74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 spans="1:29" ht="19.5" customHeight="1" x14ac:dyDescent="0.15">
      <c r="A141" s="13"/>
      <c r="B141" s="74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 spans="1:29" ht="19.5" customHeight="1" x14ac:dyDescent="0.15">
      <c r="A142" s="13"/>
      <c r="B142" s="74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 spans="1:29" ht="19.5" customHeight="1" x14ac:dyDescent="0.15">
      <c r="A143" s="13"/>
      <c r="B143" s="74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 spans="1:29" ht="19.5" customHeight="1" x14ac:dyDescent="0.15">
      <c r="A144" s="13"/>
      <c r="B144" s="74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 spans="1:29" ht="19.5" customHeight="1" x14ac:dyDescent="0.15">
      <c r="A145" s="13"/>
      <c r="B145" s="74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 spans="1:29" ht="19.5" customHeight="1" x14ac:dyDescent="0.15">
      <c r="A146" s="13"/>
      <c r="B146" s="74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 spans="1:29" ht="19.5" customHeight="1" x14ac:dyDescent="0.15">
      <c r="A147" s="13"/>
      <c r="B147" s="74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 spans="1:29" ht="19.5" customHeight="1" x14ac:dyDescent="0.15">
      <c r="A148" s="13"/>
      <c r="B148" s="74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 spans="1:29" ht="19.5" customHeight="1" x14ac:dyDescent="0.15">
      <c r="A149" s="13"/>
      <c r="B149" s="74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 spans="1:29" ht="19.5" customHeight="1" x14ac:dyDescent="0.15">
      <c r="A150" s="13"/>
      <c r="B150" s="74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 spans="1:29" ht="19.5" customHeight="1" x14ac:dyDescent="0.15">
      <c r="A151" s="13"/>
      <c r="B151" s="74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 spans="1:29" ht="19.5" customHeight="1" x14ac:dyDescent="0.15">
      <c r="A152" s="13"/>
      <c r="B152" s="74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 spans="1:29" ht="19.5" customHeight="1" x14ac:dyDescent="0.15">
      <c r="A153" s="13"/>
      <c r="B153" s="74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 spans="1:29" ht="19.5" customHeight="1" x14ac:dyDescent="0.15">
      <c r="A154" s="13"/>
      <c r="B154" s="74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 spans="1:29" ht="19.5" customHeight="1" x14ac:dyDescent="0.15">
      <c r="A155" s="13"/>
      <c r="B155" s="74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 spans="1:29" ht="19.5" customHeight="1" x14ac:dyDescent="0.15">
      <c r="A156" s="13"/>
      <c r="B156" s="74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 spans="1:29" ht="19.5" customHeight="1" x14ac:dyDescent="0.15">
      <c r="A157" s="13"/>
      <c r="B157" s="74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 spans="1:29" ht="19.5" customHeight="1" x14ac:dyDescent="0.15">
      <c r="A158" s="13"/>
      <c r="B158" s="74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 spans="1:29" ht="19.5" customHeight="1" x14ac:dyDescent="0.15">
      <c r="A159" s="13"/>
      <c r="B159" s="74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 spans="1:29" ht="19.5" customHeight="1" x14ac:dyDescent="0.15">
      <c r="A160" s="13"/>
      <c r="B160" s="74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 spans="1:29" ht="19.5" customHeight="1" x14ac:dyDescent="0.15">
      <c r="A161" s="13"/>
      <c r="B161" s="74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 spans="1:29" ht="19.5" customHeight="1" x14ac:dyDescent="0.15">
      <c r="A162" s="13"/>
      <c r="B162" s="74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 spans="1:29" ht="19.5" customHeight="1" x14ac:dyDescent="0.15">
      <c r="A163" s="13"/>
      <c r="B163" s="74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 spans="1:29" ht="19.5" customHeight="1" x14ac:dyDescent="0.15">
      <c r="A164" s="13"/>
      <c r="B164" s="74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 spans="1:29" ht="19.5" customHeight="1" x14ac:dyDescent="0.15">
      <c r="A165" s="13"/>
      <c r="B165" s="74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 spans="1:29" ht="19.5" customHeight="1" x14ac:dyDescent="0.15">
      <c r="A166" s="13"/>
      <c r="B166" s="74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 spans="1:29" ht="19.5" customHeight="1" x14ac:dyDescent="0.15">
      <c r="A167" s="13"/>
      <c r="B167" s="74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 spans="1:29" ht="19.5" customHeight="1" x14ac:dyDescent="0.15">
      <c r="A168" s="13"/>
      <c r="B168" s="74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 spans="1:29" ht="19.5" customHeight="1" x14ac:dyDescent="0.15">
      <c r="A169" s="13"/>
      <c r="B169" s="74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 spans="1:29" ht="19.5" customHeight="1" x14ac:dyDescent="0.15">
      <c r="A170" s="13"/>
      <c r="B170" s="74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 spans="1:29" ht="19.5" customHeight="1" x14ac:dyDescent="0.15">
      <c r="A171" s="13"/>
      <c r="B171" s="74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 spans="1:29" ht="19.5" customHeight="1" x14ac:dyDescent="0.15">
      <c r="A172" s="13"/>
      <c r="B172" s="74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 spans="1:29" ht="19.5" customHeight="1" x14ac:dyDescent="0.15">
      <c r="A173" s="13"/>
      <c r="B173" s="74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 spans="1:29" ht="19.5" customHeight="1" x14ac:dyDescent="0.15">
      <c r="A174" s="13"/>
      <c r="B174" s="74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 spans="1:29" ht="19.5" customHeight="1" x14ac:dyDescent="0.15">
      <c r="A175" s="13"/>
      <c r="B175" s="74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 spans="1:29" ht="19.5" customHeight="1" x14ac:dyDescent="0.15">
      <c r="A176" s="13"/>
      <c r="B176" s="74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 spans="1:29" ht="19.5" customHeight="1" x14ac:dyDescent="0.15">
      <c r="A177" s="13"/>
      <c r="B177" s="74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 spans="1:29" ht="19.5" customHeight="1" x14ac:dyDescent="0.15">
      <c r="A178" s="13"/>
      <c r="B178" s="74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 spans="1:29" ht="19.5" customHeight="1" x14ac:dyDescent="0.15">
      <c r="A179" s="13"/>
      <c r="B179" s="74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 spans="1:29" ht="19.5" customHeight="1" x14ac:dyDescent="0.15">
      <c r="A180" s="13"/>
      <c r="B180" s="74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 spans="1:29" ht="19.5" customHeight="1" x14ac:dyDescent="0.15">
      <c r="A181" s="13"/>
      <c r="B181" s="74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 spans="1:29" ht="19.5" customHeight="1" x14ac:dyDescent="0.15">
      <c r="A182" s="13"/>
      <c r="B182" s="74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 spans="1:29" ht="19.5" customHeight="1" x14ac:dyDescent="0.15">
      <c r="A183" s="13"/>
      <c r="B183" s="74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 spans="1:29" ht="19.5" customHeight="1" x14ac:dyDescent="0.15">
      <c r="A184" s="13"/>
      <c r="B184" s="74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 spans="1:29" ht="19.5" customHeight="1" x14ac:dyDescent="0.15">
      <c r="A185" s="13"/>
      <c r="B185" s="74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 spans="1:29" ht="19.5" customHeight="1" x14ac:dyDescent="0.15">
      <c r="A186" s="13"/>
      <c r="B186" s="74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 spans="1:29" ht="19.5" customHeight="1" x14ac:dyDescent="0.15">
      <c r="A187" s="13"/>
      <c r="B187" s="74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 spans="1:29" ht="19.5" customHeight="1" x14ac:dyDescent="0.15">
      <c r="A188" s="13"/>
      <c r="B188" s="74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 spans="1:29" ht="19.5" customHeight="1" x14ac:dyDescent="0.15">
      <c r="A189" s="13"/>
      <c r="B189" s="74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 spans="1:29" ht="19.5" customHeight="1" x14ac:dyDescent="0.15">
      <c r="A190" s="13"/>
      <c r="B190" s="74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 spans="1:29" ht="19.5" customHeight="1" x14ac:dyDescent="0.15">
      <c r="A191" s="13"/>
      <c r="B191" s="74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 spans="1:29" ht="19.5" customHeight="1" x14ac:dyDescent="0.15">
      <c r="A192" s="13"/>
      <c r="B192" s="74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 spans="1:29" ht="19.5" customHeight="1" x14ac:dyDescent="0.15">
      <c r="A193" s="13"/>
      <c r="B193" s="74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 spans="1:29" ht="19.5" customHeight="1" x14ac:dyDescent="0.15">
      <c r="A194" s="13"/>
      <c r="B194" s="74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 spans="1:29" ht="19.5" customHeight="1" x14ac:dyDescent="0.15">
      <c r="A195" s="13"/>
      <c r="B195" s="74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 spans="1:29" ht="19.5" customHeight="1" x14ac:dyDescent="0.15">
      <c r="A196" s="13"/>
      <c r="B196" s="74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 spans="1:29" ht="19.5" customHeight="1" x14ac:dyDescent="0.15">
      <c r="A197" s="13"/>
      <c r="B197" s="74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 spans="1:29" ht="19.5" customHeight="1" x14ac:dyDescent="0.15">
      <c r="A198" s="13"/>
      <c r="B198" s="74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 spans="1:29" ht="19.5" customHeight="1" x14ac:dyDescent="0.15">
      <c r="A199" s="13"/>
      <c r="B199" s="74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 spans="1:29" ht="19.5" customHeight="1" x14ac:dyDescent="0.15">
      <c r="A200" s="13"/>
      <c r="B200" s="74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 spans="1:29" ht="19.5" customHeight="1" x14ac:dyDescent="0.15">
      <c r="A201" s="13"/>
      <c r="B201" s="74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 spans="1:29" ht="19.5" customHeight="1" x14ac:dyDescent="0.15">
      <c r="A202" s="13"/>
      <c r="B202" s="74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 spans="1:29" ht="19.5" customHeight="1" x14ac:dyDescent="0.15">
      <c r="A203" s="13"/>
      <c r="B203" s="74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 spans="1:29" ht="19.5" customHeight="1" x14ac:dyDescent="0.15">
      <c r="A204" s="13"/>
      <c r="B204" s="74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 spans="1:29" ht="19.5" customHeight="1" x14ac:dyDescent="0.15">
      <c r="A205" s="13"/>
      <c r="B205" s="74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 spans="1:29" ht="19.5" customHeight="1" x14ac:dyDescent="0.15">
      <c r="A206" s="13"/>
      <c r="B206" s="74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 spans="1:29" ht="19.5" customHeight="1" x14ac:dyDescent="0.15">
      <c r="A207" s="13"/>
      <c r="B207" s="74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 spans="1:29" ht="19.5" customHeight="1" x14ac:dyDescent="0.15">
      <c r="A208" s="13"/>
      <c r="B208" s="74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 spans="1:29" ht="19.5" customHeight="1" x14ac:dyDescent="0.15">
      <c r="A209" s="13"/>
      <c r="B209" s="74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 spans="1:29" ht="19.5" customHeight="1" x14ac:dyDescent="0.15">
      <c r="A210" s="13"/>
      <c r="B210" s="74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 spans="1:29" ht="19.5" customHeight="1" x14ac:dyDescent="0.15">
      <c r="A211" s="13"/>
      <c r="B211" s="74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 spans="1:29" ht="19.5" customHeight="1" x14ac:dyDescent="0.15">
      <c r="A212" s="13"/>
      <c r="B212" s="74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 spans="1:29" ht="19.5" customHeight="1" x14ac:dyDescent="0.15">
      <c r="A213" s="13"/>
      <c r="B213" s="74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 spans="1:29" ht="19.5" customHeight="1" x14ac:dyDescent="0.15">
      <c r="A214" s="13"/>
      <c r="B214" s="74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 spans="1:29" ht="19.5" customHeight="1" x14ac:dyDescent="0.15">
      <c r="A215" s="13"/>
      <c r="B215" s="74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 spans="1:29" ht="19.5" customHeight="1" x14ac:dyDescent="0.15">
      <c r="A216" s="13"/>
      <c r="B216" s="74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 spans="1:29" ht="19.5" customHeight="1" x14ac:dyDescent="0.15">
      <c r="A217" s="13"/>
      <c r="B217" s="74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 spans="1:29" ht="19.5" customHeight="1" x14ac:dyDescent="0.15">
      <c r="A218" s="13"/>
      <c r="B218" s="74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 spans="1:29" ht="19.5" customHeight="1" x14ac:dyDescent="0.15">
      <c r="A219" s="13"/>
      <c r="B219" s="74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 spans="1:29" ht="19.5" customHeight="1" x14ac:dyDescent="0.15">
      <c r="A220" s="13"/>
      <c r="B220" s="74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 spans="1:29" ht="19.5" customHeight="1" x14ac:dyDescent="0.15">
      <c r="A221" s="13"/>
      <c r="B221" s="74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 spans="1:29" ht="19.5" customHeight="1" x14ac:dyDescent="0.15">
      <c r="A222" s="13"/>
      <c r="B222" s="74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 spans="1:29" ht="15.75" customHeight="1" x14ac:dyDescent="0.15">
      <c r="A223" s="13"/>
      <c r="B223" s="74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 spans="1:29" ht="15.75" customHeight="1" x14ac:dyDescent="0.15">
      <c r="A224" s="13"/>
      <c r="B224" s="74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 spans="1:29" ht="15.75" customHeight="1" x14ac:dyDescent="0.15">
      <c r="A225" s="13"/>
      <c r="B225" s="74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 spans="1:29" ht="15.75" customHeight="1" x14ac:dyDescent="0.15">
      <c r="A226" s="13"/>
      <c r="B226" s="74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 spans="1:29" ht="15.75" customHeight="1" x14ac:dyDescent="0.15">
      <c r="A227" s="13"/>
      <c r="B227" s="74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 spans="1:29" ht="15.75" customHeight="1" x14ac:dyDescent="0.15">
      <c r="A228" s="13"/>
      <c r="B228" s="74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 spans="1:29" ht="15.75" customHeight="1" x14ac:dyDescent="0.15">
      <c r="A229" s="13"/>
      <c r="B229" s="74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 spans="1:29" ht="15.75" customHeight="1" x14ac:dyDescent="0.15">
      <c r="A230" s="13"/>
      <c r="B230" s="74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 spans="1:29" ht="15.75" customHeight="1" x14ac:dyDescent="0.15">
      <c r="A231" s="13"/>
      <c r="B231" s="74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 spans="1:29" ht="15.75" customHeight="1" x14ac:dyDescent="0.15">
      <c r="A232" s="13"/>
      <c r="B232" s="74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 spans="1:29" ht="15.75" customHeight="1" x14ac:dyDescent="0.15">
      <c r="A233" s="13"/>
      <c r="B233" s="74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 spans="1:29" ht="15.75" customHeight="1" x14ac:dyDescent="0.15">
      <c r="A234" s="13"/>
      <c r="B234" s="74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 spans="1:29" ht="15.75" customHeight="1" x14ac:dyDescent="0.15">
      <c r="A235" s="13"/>
      <c r="B235" s="74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 spans="1:29" ht="15.75" customHeight="1" x14ac:dyDescent="0.15">
      <c r="A236" s="13"/>
      <c r="B236" s="74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 spans="1:29" ht="15.75" customHeight="1" x14ac:dyDescent="0.15">
      <c r="A237" s="13"/>
      <c r="B237" s="74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 spans="1:29" ht="15.75" customHeight="1" x14ac:dyDescent="0.15">
      <c r="A238" s="13"/>
      <c r="B238" s="74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 spans="1:29" ht="15.75" customHeight="1" x14ac:dyDescent="0.15">
      <c r="A239" s="13"/>
      <c r="B239" s="74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 spans="1:29" ht="15.75" customHeight="1" x14ac:dyDescent="0.15">
      <c r="A240" s="13"/>
      <c r="B240" s="74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 spans="1:29" ht="15.75" customHeight="1" x14ac:dyDescent="0.15">
      <c r="A241" s="13"/>
      <c r="B241" s="74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 spans="1:29" ht="15.75" customHeight="1" x14ac:dyDescent="0.15">
      <c r="A242" s="13"/>
      <c r="B242" s="74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 spans="1:29" ht="15.75" customHeight="1" x14ac:dyDescent="0.15">
      <c r="A243" s="13"/>
      <c r="B243" s="74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 spans="1:29" ht="15.75" customHeight="1" x14ac:dyDescent="0.15">
      <c r="A244" s="13"/>
      <c r="B244" s="74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 spans="1:29" ht="15.75" customHeight="1" x14ac:dyDescent="0.15">
      <c r="A245" s="13"/>
      <c r="B245" s="74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 spans="1:29" ht="15.75" customHeight="1" x14ac:dyDescent="0.15">
      <c r="A246" s="13"/>
      <c r="B246" s="74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 spans="1:29" ht="15.75" customHeight="1" x14ac:dyDescent="0.15">
      <c r="A247" s="13"/>
      <c r="B247" s="74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 spans="1:29" ht="15.75" customHeight="1" x14ac:dyDescent="0.15">
      <c r="A248" s="13"/>
      <c r="B248" s="74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 spans="1:29" ht="15.75" customHeight="1" x14ac:dyDescent="0.15">
      <c r="A249" s="13"/>
      <c r="B249" s="74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 spans="1:29" ht="15.75" customHeight="1" x14ac:dyDescent="0.15">
      <c r="A250" s="13"/>
      <c r="B250" s="74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 spans="1:29" ht="15.75" customHeight="1" x14ac:dyDescent="0.15">
      <c r="A251" s="13"/>
      <c r="B251" s="74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 spans="1:29" ht="15.75" customHeight="1" x14ac:dyDescent="0.15">
      <c r="A252" s="13"/>
      <c r="B252" s="74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 spans="1:29" ht="15.75" customHeight="1" x14ac:dyDescent="0.15">
      <c r="A253" s="13"/>
      <c r="B253" s="74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 spans="1:29" ht="15.75" customHeight="1" x14ac:dyDescent="0.15">
      <c r="A254" s="13"/>
      <c r="B254" s="74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 spans="1:29" ht="15.75" customHeight="1" x14ac:dyDescent="0.15">
      <c r="A255" s="13"/>
      <c r="B255" s="74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 spans="1:29" ht="15.75" customHeight="1" x14ac:dyDescent="0.15">
      <c r="A256" s="13"/>
      <c r="B256" s="74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 spans="1:29" ht="15.75" customHeight="1" x14ac:dyDescent="0.15">
      <c r="A257" s="13"/>
      <c r="B257" s="74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 spans="1:29" ht="15.75" customHeight="1" x14ac:dyDescent="0.15">
      <c r="A258" s="13"/>
      <c r="B258" s="74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 spans="1:29" ht="15.75" customHeight="1" x14ac:dyDescent="0.15">
      <c r="A259" s="13"/>
      <c r="B259" s="74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 spans="1:29" ht="15.75" customHeight="1" x14ac:dyDescent="0.15">
      <c r="A260" s="13"/>
      <c r="B260" s="74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 spans="1:29" ht="15.75" customHeight="1" x14ac:dyDescent="0.15">
      <c r="A261" s="13"/>
      <c r="B261" s="74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 spans="1:29" ht="15.75" customHeight="1" x14ac:dyDescent="0.15">
      <c r="A262" s="13"/>
      <c r="B262" s="74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 spans="1:29" ht="15.75" customHeight="1" x14ac:dyDescent="0.15">
      <c r="A263" s="13"/>
      <c r="B263" s="74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 spans="1:29" ht="15.75" customHeight="1" x14ac:dyDescent="0.15">
      <c r="A264" s="13"/>
      <c r="B264" s="74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 spans="1:29" ht="15.75" customHeight="1" x14ac:dyDescent="0.15">
      <c r="A265" s="13"/>
      <c r="B265" s="74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 spans="1:29" ht="15.75" customHeight="1" x14ac:dyDescent="0.15">
      <c r="A266" s="13"/>
      <c r="B266" s="74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 spans="1:29" ht="15.75" customHeight="1" x14ac:dyDescent="0.15">
      <c r="A267" s="13"/>
      <c r="B267" s="74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 spans="1:29" ht="15.75" customHeight="1" x14ac:dyDescent="0.15">
      <c r="A268" s="13"/>
      <c r="B268" s="74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 spans="1:29" ht="15.75" customHeight="1" x14ac:dyDescent="0.15">
      <c r="A269" s="13"/>
      <c r="B269" s="74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 spans="1:29" ht="15.75" customHeight="1" x14ac:dyDescent="0.15">
      <c r="A270" s="13"/>
      <c r="B270" s="74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 spans="1:29" ht="15.75" customHeight="1" x14ac:dyDescent="0.15">
      <c r="A271" s="13"/>
      <c r="B271" s="74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 spans="1:29" ht="15.75" customHeight="1" x14ac:dyDescent="0.15">
      <c r="A272" s="13"/>
      <c r="B272" s="74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 spans="1:29" ht="15.75" customHeight="1" x14ac:dyDescent="0.15">
      <c r="A273" s="13"/>
      <c r="B273" s="74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 spans="1:29" ht="15.75" customHeight="1" x14ac:dyDescent="0.15">
      <c r="A274" s="13"/>
      <c r="B274" s="74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 spans="1:29" ht="15.75" customHeight="1" x14ac:dyDescent="0.15">
      <c r="A275" s="13"/>
      <c r="B275" s="74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 spans="1:29" ht="15.75" customHeight="1" x14ac:dyDescent="0.15">
      <c r="A276" s="13"/>
      <c r="B276" s="74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 spans="1:29" ht="15.75" customHeight="1" x14ac:dyDescent="0.15">
      <c r="A277" s="13"/>
      <c r="B277" s="74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 spans="1:29" ht="15.75" customHeight="1" x14ac:dyDescent="0.15">
      <c r="A278" s="13"/>
      <c r="B278" s="74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 spans="1:29" ht="15.75" customHeight="1" x14ac:dyDescent="0.15">
      <c r="A279" s="13"/>
      <c r="B279" s="74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 spans="1:29" ht="15.75" customHeight="1" x14ac:dyDescent="0.15">
      <c r="A280" s="13"/>
      <c r="B280" s="74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 spans="1:29" ht="15.75" customHeight="1" x14ac:dyDescent="0.15">
      <c r="A281" s="13"/>
      <c r="B281" s="74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 spans="1:29" ht="15.75" customHeight="1" x14ac:dyDescent="0.15">
      <c r="A282" s="13"/>
      <c r="B282" s="74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 spans="1:29" ht="15.75" customHeight="1" x14ac:dyDescent="0.15">
      <c r="A283" s="13"/>
      <c r="B283" s="74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 spans="1:29" ht="15.75" customHeight="1" x14ac:dyDescent="0.15">
      <c r="A284" s="13"/>
      <c r="B284" s="74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 spans="1:29" ht="15.75" customHeight="1" x14ac:dyDescent="0.15">
      <c r="A285" s="13"/>
      <c r="B285" s="74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 spans="1:29" ht="15.75" customHeight="1" x14ac:dyDescent="0.15">
      <c r="A286" s="13"/>
      <c r="B286" s="74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 spans="1:29" ht="15.75" customHeight="1" x14ac:dyDescent="0.15">
      <c r="A287" s="13"/>
      <c r="B287" s="74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 spans="1:29" ht="15.75" customHeight="1" x14ac:dyDescent="0.15">
      <c r="A288" s="13"/>
      <c r="B288" s="74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 spans="1:29" ht="15.75" customHeight="1" x14ac:dyDescent="0.15">
      <c r="A289" s="13"/>
      <c r="B289" s="74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 spans="1:29" ht="15.75" customHeight="1" x14ac:dyDescent="0.15">
      <c r="A290" s="13"/>
      <c r="B290" s="74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 spans="1:29" ht="15.75" customHeight="1" x14ac:dyDescent="0.15">
      <c r="A291" s="13"/>
      <c r="B291" s="74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 spans="1:29" ht="15.75" customHeight="1" x14ac:dyDescent="0.15">
      <c r="A292" s="13"/>
      <c r="B292" s="74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 spans="1:29" ht="15.75" customHeight="1" x14ac:dyDescent="0.15">
      <c r="A293" s="13"/>
      <c r="B293" s="74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 spans="1:29" ht="15.75" customHeight="1" x14ac:dyDescent="0.15">
      <c r="A294" s="13"/>
      <c r="B294" s="74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 spans="1:29" ht="15.75" customHeight="1" x14ac:dyDescent="0.15">
      <c r="A295" s="13"/>
      <c r="B295" s="74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 spans="1:29" ht="15.75" customHeight="1" x14ac:dyDescent="0.15">
      <c r="A296" s="13"/>
      <c r="B296" s="74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 spans="1:29" ht="15.75" customHeight="1" x14ac:dyDescent="0.15">
      <c r="A297" s="13"/>
      <c r="B297" s="74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 spans="1:29" ht="15.75" customHeight="1" x14ac:dyDescent="0.15">
      <c r="A298" s="13"/>
      <c r="B298" s="74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 spans="1:29" ht="15.75" customHeight="1" x14ac:dyDescent="0.15">
      <c r="A299" s="13"/>
      <c r="B299" s="74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 spans="1:29" ht="15.75" customHeight="1" x14ac:dyDescent="0.15">
      <c r="A300" s="13"/>
      <c r="B300" s="74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 spans="1:29" ht="15.75" customHeight="1" x14ac:dyDescent="0.15">
      <c r="A301" s="13"/>
      <c r="B301" s="74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 spans="1:29" ht="15.75" customHeight="1" x14ac:dyDescent="0.15">
      <c r="A302" s="13"/>
      <c r="B302" s="74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 spans="1:29" ht="15.75" customHeight="1" x14ac:dyDescent="0.15">
      <c r="A303" s="13"/>
      <c r="B303" s="74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 spans="1:29" ht="15.75" customHeight="1" x14ac:dyDescent="0.15">
      <c r="A304" s="13"/>
      <c r="B304" s="74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 spans="1:29" ht="15.75" customHeight="1" x14ac:dyDescent="0.15">
      <c r="A305" s="13"/>
      <c r="B305" s="74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 spans="1:29" ht="15.75" customHeight="1" x14ac:dyDescent="0.15">
      <c r="A306" s="13"/>
      <c r="B306" s="74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 spans="1:29" ht="15.75" customHeight="1" x14ac:dyDescent="0.15">
      <c r="A307" s="13"/>
      <c r="B307" s="74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 spans="1:29" ht="15.75" customHeight="1" x14ac:dyDescent="0.15">
      <c r="A308" s="13"/>
      <c r="B308" s="74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 spans="1:29" ht="15.75" customHeight="1" x14ac:dyDescent="0.15">
      <c r="A309" s="13"/>
      <c r="B309" s="74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 spans="1:29" ht="15.75" customHeight="1" x14ac:dyDescent="0.15">
      <c r="A310" s="13"/>
      <c r="B310" s="74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 spans="1:29" ht="15.75" customHeight="1" x14ac:dyDescent="0.15">
      <c r="A311" s="13"/>
      <c r="B311" s="74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 spans="1:29" ht="15.75" customHeight="1" x14ac:dyDescent="0.15">
      <c r="A312" s="13"/>
      <c r="B312" s="74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 spans="1:29" ht="15.75" customHeight="1" x14ac:dyDescent="0.15">
      <c r="A313" s="13"/>
      <c r="B313" s="74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 spans="1:29" ht="15.75" customHeight="1" x14ac:dyDescent="0.15">
      <c r="A314" s="13"/>
      <c r="B314" s="74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 spans="1:29" ht="15.75" customHeight="1" x14ac:dyDescent="0.15">
      <c r="A315" s="13"/>
      <c r="B315" s="74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 spans="1:29" ht="15.75" customHeight="1" x14ac:dyDescent="0.15">
      <c r="A316" s="13"/>
      <c r="B316" s="74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 spans="1:29" ht="15.75" customHeight="1" x14ac:dyDescent="0.15">
      <c r="A317" s="13"/>
      <c r="B317" s="74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 spans="1:29" ht="15.75" customHeight="1" x14ac:dyDescent="0.15">
      <c r="A318" s="13"/>
      <c r="B318" s="74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 spans="1:29" ht="15.75" customHeight="1" x14ac:dyDescent="0.15">
      <c r="A319" s="13"/>
      <c r="B319" s="74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 spans="1:29" ht="15.75" customHeight="1" x14ac:dyDescent="0.15">
      <c r="A320" s="13"/>
      <c r="B320" s="74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 spans="1:29" ht="15.75" customHeight="1" x14ac:dyDescent="0.15">
      <c r="A321" s="13"/>
      <c r="B321" s="74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 spans="1:29" ht="15.75" customHeight="1" x14ac:dyDescent="0.15">
      <c r="A322" s="13"/>
      <c r="B322" s="74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 spans="1:29" ht="15.75" customHeight="1" x14ac:dyDescent="0.15">
      <c r="A323" s="13"/>
      <c r="B323" s="74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 spans="1:29" ht="15.75" customHeight="1" x14ac:dyDescent="0.15">
      <c r="A324" s="13"/>
      <c r="B324" s="74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 spans="1:29" ht="15.75" customHeight="1" x14ac:dyDescent="0.15">
      <c r="A325" s="13"/>
      <c r="B325" s="74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 spans="1:29" ht="15.75" customHeight="1" x14ac:dyDescent="0.15">
      <c r="A326" s="13"/>
      <c r="B326" s="74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 spans="1:29" ht="15.75" customHeight="1" x14ac:dyDescent="0.15">
      <c r="A327" s="13"/>
      <c r="B327" s="74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 spans="1:29" ht="15.75" customHeight="1" x14ac:dyDescent="0.15">
      <c r="A328" s="13"/>
      <c r="B328" s="74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 spans="1:29" ht="15.75" customHeight="1" x14ac:dyDescent="0.15">
      <c r="A329" s="13"/>
      <c r="B329" s="74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 spans="1:29" ht="15.75" customHeight="1" x14ac:dyDescent="0.15">
      <c r="A330" s="13"/>
      <c r="B330" s="74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 spans="1:29" ht="15.75" customHeight="1" x14ac:dyDescent="0.15">
      <c r="A331" s="13"/>
      <c r="B331" s="74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 spans="1:29" ht="15.75" customHeight="1" x14ac:dyDescent="0.15">
      <c r="A332" s="13"/>
      <c r="B332" s="74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 spans="1:29" ht="15.75" customHeight="1" x14ac:dyDescent="0.15">
      <c r="A333" s="13"/>
      <c r="B333" s="74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 spans="1:29" ht="15.75" customHeight="1" x14ac:dyDescent="0.15">
      <c r="A334" s="13"/>
      <c r="B334" s="74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 spans="1:29" ht="15.75" customHeight="1" x14ac:dyDescent="0.15">
      <c r="A335" s="13"/>
      <c r="B335" s="74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 spans="1:29" ht="15.75" customHeight="1" x14ac:dyDescent="0.15">
      <c r="A336" s="13"/>
      <c r="B336" s="74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 spans="1:29" ht="15.75" customHeight="1" x14ac:dyDescent="0.15">
      <c r="A337" s="13"/>
      <c r="B337" s="74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 spans="1:29" ht="15.75" customHeight="1" x14ac:dyDescent="0.15">
      <c r="A338" s="13"/>
      <c r="B338" s="74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 spans="1:29" ht="15.75" customHeight="1" x14ac:dyDescent="0.15">
      <c r="A339" s="13"/>
      <c r="B339" s="74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 spans="1:29" ht="15.75" customHeight="1" x14ac:dyDescent="0.15">
      <c r="A340" s="13"/>
      <c r="B340" s="74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 spans="1:29" ht="15.75" customHeight="1" x14ac:dyDescent="0.15">
      <c r="A341" s="13"/>
      <c r="B341" s="74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 spans="1:29" ht="15.75" customHeight="1" x14ac:dyDescent="0.15">
      <c r="A342" s="13"/>
      <c r="B342" s="74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 spans="1:29" ht="15.75" customHeight="1" x14ac:dyDescent="0.15">
      <c r="A343" s="13"/>
      <c r="B343" s="74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 spans="1:29" ht="15.75" customHeight="1" x14ac:dyDescent="0.15">
      <c r="A344" s="13"/>
      <c r="B344" s="74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 spans="1:29" ht="15.75" customHeight="1" x14ac:dyDescent="0.15">
      <c r="A345" s="13"/>
      <c r="B345" s="74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 spans="1:29" ht="15.75" customHeight="1" x14ac:dyDescent="0.15">
      <c r="A346" s="13"/>
      <c r="B346" s="74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 spans="1:29" ht="15.75" customHeight="1" x14ac:dyDescent="0.15">
      <c r="A347" s="13"/>
      <c r="B347" s="74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 spans="1:29" ht="15.75" customHeight="1" x14ac:dyDescent="0.15">
      <c r="A348" s="13"/>
      <c r="B348" s="74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 spans="1:29" ht="15.75" customHeight="1" x14ac:dyDescent="0.15">
      <c r="A349" s="13"/>
      <c r="B349" s="74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 spans="1:29" ht="15.75" customHeight="1" x14ac:dyDescent="0.15">
      <c r="A350" s="13"/>
      <c r="B350" s="74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 spans="1:29" ht="15.75" customHeight="1" x14ac:dyDescent="0.15">
      <c r="A351" s="13"/>
      <c r="B351" s="74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 spans="1:29" ht="15.75" customHeight="1" x14ac:dyDescent="0.15">
      <c r="A352" s="13"/>
      <c r="B352" s="74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 spans="1:29" ht="15.75" customHeight="1" x14ac:dyDescent="0.15">
      <c r="A353" s="13"/>
      <c r="B353" s="74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 spans="1:29" ht="15.75" customHeight="1" x14ac:dyDescent="0.15">
      <c r="A354" s="13"/>
      <c r="B354" s="74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 spans="1:29" ht="15.75" customHeight="1" x14ac:dyDescent="0.15">
      <c r="A355" s="13"/>
      <c r="B355" s="74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 spans="1:29" ht="15.75" customHeight="1" x14ac:dyDescent="0.15">
      <c r="A356" s="13"/>
      <c r="B356" s="74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 spans="1:29" ht="15.75" customHeight="1" x14ac:dyDescent="0.15">
      <c r="A357" s="13"/>
      <c r="B357" s="74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 spans="1:29" ht="15.75" customHeight="1" x14ac:dyDescent="0.15">
      <c r="A358" s="13"/>
      <c r="B358" s="74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 spans="1:29" ht="15.75" customHeight="1" x14ac:dyDescent="0.15">
      <c r="A359" s="13"/>
      <c r="B359" s="74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 spans="1:29" ht="15.75" customHeight="1" x14ac:dyDescent="0.15">
      <c r="A360" s="13"/>
      <c r="B360" s="74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 spans="1:29" ht="15.75" customHeight="1" x14ac:dyDescent="0.15">
      <c r="A361" s="13"/>
      <c r="B361" s="74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 spans="1:29" ht="15.75" customHeight="1" x14ac:dyDescent="0.15">
      <c r="A362" s="13"/>
      <c r="B362" s="74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 spans="1:29" ht="15.75" customHeight="1" x14ac:dyDescent="0.15">
      <c r="A363" s="13"/>
      <c r="B363" s="74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 spans="1:29" ht="15.75" customHeight="1" x14ac:dyDescent="0.15">
      <c r="A364" s="13"/>
      <c r="B364" s="74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 spans="1:29" ht="15.75" customHeight="1" x14ac:dyDescent="0.15">
      <c r="A365" s="13"/>
      <c r="B365" s="74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 spans="1:29" ht="15.75" customHeight="1" x14ac:dyDescent="0.15">
      <c r="A366" s="13"/>
      <c r="B366" s="74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 spans="1:29" ht="15.75" customHeight="1" x14ac:dyDescent="0.15">
      <c r="A367" s="13"/>
      <c r="B367" s="74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 spans="1:29" ht="15.75" customHeight="1" x14ac:dyDescent="0.15">
      <c r="A368" s="13"/>
      <c r="B368" s="74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 spans="1:29" ht="15.75" customHeight="1" x14ac:dyDescent="0.15">
      <c r="A369" s="13"/>
      <c r="B369" s="74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 spans="1:29" ht="15.75" customHeight="1" x14ac:dyDescent="0.15">
      <c r="A370" s="13"/>
      <c r="B370" s="74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 spans="1:29" ht="15.75" customHeight="1" x14ac:dyDescent="0.15">
      <c r="A371" s="13"/>
      <c r="B371" s="74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 spans="1:29" ht="15.75" customHeight="1" x14ac:dyDescent="0.15">
      <c r="A372" s="13"/>
      <c r="B372" s="74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 spans="1:29" ht="15.75" customHeight="1" x14ac:dyDescent="0.15">
      <c r="A373" s="13"/>
      <c r="B373" s="74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 spans="1:29" ht="15.75" customHeight="1" x14ac:dyDescent="0.15">
      <c r="A374" s="13"/>
      <c r="B374" s="74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 spans="1:29" ht="15.75" customHeight="1" x14ac:dyDescent="0.15">
      <c r="A375" s="13"/>
      <c r="B375" s="74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 spans="1:29" ht="15.75" customHeight="1" x14ac:dyDescent="0.15">
      <c r="A376" s="13"/>
      <c r="B376" s="74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 spans="1:29" ht="15.75" customHeight="1" x14ac:dyDescent="0.15">
      <c r="A377" s="13"/>
      <c r="B377" s="74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 spans="1:29" ht="15.75" customHeight="1" x14ac:dyDescent="0.15">
      <c r="A378" s="13"/>
      <c r="B378" s="74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 spans="1:29" ht="15.75" customHeight="1" x14ac:dyDescent="0.15">
      <c r="A379" s="13"/>
      <c r="B379" s="74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 spans="1:29" ht="15.75" customHeight="1" x14ac:dyDescent="0.15">
      <c r="A380" s="13"/>
      <c r="B380" s="74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 spans="1:29" ht="15.75" customHeight="1" x14ac:dyDescent="0.15">
      <c r="A381" s="13"/>
      <c r="B381" s="74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 spans="1:29" ht="15.75" customHeight="1" x14ac:dyDescent="0.15">
      <c r="A382" s="13"/>
      <c r="B382" s="74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 spans="1:29" ht="15.75" customHeight="1" x14ac:dyDescent="0.15">
      <c r="A383" s="13"/>
      <c r="B383" s="74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 spans="1:29" ht="15.75" customHeight="1" x14ac:dyDescent="0.15">
      <c r="A384" s="13"/>
      <c r="B384" s="74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 spans="1:29" ht="15.75" customHeight="1" x14ac:dyDescent="0.15">
      <c r="A385" s="13"/>
      <c r="B385" s="74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 spans="1:29" ht="15.75" customHeight="1" x14ac:dyDescent="0.15">
      <c r="A386" s="13"/>
      <c r="B386" s="74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 spans="1:29" ht="15.75" customHeight="1" x14ac:dyDescent="0.15">
      <c r="A387" s="13"/>
      <c r="B387" s="74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 spans="1:29" ht="15.75" customHeight="1" x14ac:dyDescent="0.15">
      <c r="A388" s="13"/>
      <c r="B388" s="74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 spans="1:29" ht="15.75" customHeight="1" x14ac:dyDescent="0.15">
      <c r="A389" s="13"/>
      <c r="B389" s="74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 spans="1:29" ht="15.75" customHeight="1" x14ac:dyDescent="0.15">
      <c r="A390" s="13"/>
      <c r="B390" s="74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 spans="1:29" ht="15.75" customHeight="1" x14ac:dyDescent="0.15">
      <c r="A391" s="13"/>
      <c r="B391" s="74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 spans="1:29" ht="15.75" customHeight="1" x14ac:dyDescent="0.15">
      <c r="A392" s="13"/>
      <c r="B392" s="74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 spans="1:29" ht="15.75" customHeight="1" x14ac:dyDescent="0.15">
      <c r="A393" s="13"/>
      <c r="B393" s="74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 spans="1:29" ht="15.75" customHeight="1" x14ac:dyDescent="0.15">
      <c r="A394" s="13"/>
      <c r="B394" s="74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 spans="1:29" ht="15.75" customHeight="1" x14ac:dyDescent="0.15">
      <c r="A395" s="13"/>
      <c r="B395" s="74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 spans="1:29" ht="15.75" customHeight="1" x14ac:dyDescent="0.15">
      <c r="A396" s="13"/>
      <c r="B396" s="74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 spans="1:29" ht="15.75" customHeight="1" x14ac:dyDescent="0.15">
      <c r="A397" s="13"/>
      <c r="B397" s="74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 spans="1:29" ht="15.75" customHeight="1" x14ac:dyDescent="0.15">
      <c r="A398" s="13"/>
      <c r="B398" s="74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 spans="1:29" ht="15.75" customHeight="1" x14ac:dyDescent="0.15">
      <c r="A399" s="13"/>
      <c r="B399" s="74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 spans="1:29" ht="15.75" customHeight="1" x14ac:dyDescent="0.15">
      <c r="A400" s="13"/>
      <c r="B400" s="74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 spans="1:29" ht="15.75" customHeight="1" x14ac:dyDescent="0.15">
      <c r="A401" s="13"/>
      <c r="B401" s="74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 spans="1:29" ht="15.75" customHeight="1" x14ac:dyDescent="0.15">
      <c r="A402" s="13"/>
      <c r="B402" s="74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 spans="1:29" ht="15.75" customHeight="1" x14ac:dyDescent="0.15">
      <c r="A403" s="13"/>
      <c r="B403" s="74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 spans="1:29" ht="15.75" customHeight="1" x14ac:dyDescent="0.15">
      <c r="A404" s="13"/>
      <c r="B404" s="74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 spans="1:29" ht="15.75" customHeight="1" x14ac:dyDescent="0.15">
      <c r="A405" s="13"/>
      <c r="B405" s="74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 spans="1:29" ht="15.75" customHeight="1" x14ac:dyDescent="0.15">
      <c r="A406" s="13"/>
      <c r="B406" s="74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 spans="1:29" ht="15.75" customHeight="1" x14ac:dyDescent="0.15">
      <c r="A407" s="13"/>
      <c r="B407" s="74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 spans="1:29" ht="15.75" customHeight="1" x14ac:dyDescent="0.15">
      <c r="A408" s="13"/>
      <c r="B408" s="74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 spans="1:29" ht="15.75" customHeight="1" x14ac:dyDescent="0.15">
      <c r="A409" s="13"/>
      <c r="B409" s="74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 spans="1:29" ht="15.75" customHeight="1" x14ac:dyDescent="0.15">
      <c r="A410" s="13"/>
      <c r="B410" s="74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 spans="1:29" ht="15.75" customHeight="1" x14ac:dyDescent="0.15">
      <c r="A411" s="13"/>
      <c r="B411" s="74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 spans="1:29" ht="15.75" customHeight="1" x14ac:dyDescent="0.15">
      <c r="A412" s="13"/>
      <c r="B412" s="74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 spans="1:29" ht="15.75" customHeight="1" x14ac:dyDescent="0.15">
      <c r="A413" s="13"/>
      <c r="B413" s="74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 spans="1:29" ht="15.75" customHeight="1" x14ac:dyDescent="0.15">
      <c r="A414" s="13"/>
      <c r="B414" s="74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 spans="1:29" ht="15.75" customHeight="1" x14ac:dyDescent="0.15">
      <c r="A415" s="13"/>
      <c r="B415" s="74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 spans="1:29" ht="15.75" customHeight="1" x14ac:dyDescent="0.15">
      <c r="A416" s="13"/>
      <c r="B416" s="74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 spans="1:29" ht="15.75" customHeight="1" x14ac:dyDescent="0.15">
      <c r="A417" s="13"/>
      <c r="B417" s="74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 spans="1:29" ht="15.75" customHeight="1" x14ac:dyDescent="0.15">
      <c r="A418" s="13"/>
      <c r="B418" s="74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 spans="1:29" ht="15.75" customHeight="1" x14ac:dyDescent="0.15">
      <c r="A419" s="13"/>
      <c r="B419" s="74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 spans="1:29" ht="15.75" customHeight="1" x14ac:dyDescent="0.15">
      <c r="A420" s="13"/>
      <c r="B420" s="74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 spans="1:29" ht="15.75" customHeight="1" x14ac:dyDescent="0.15">
      <c r="A421" s="13"/>
      <c r="B421" s="74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 spans="1:29" ht="15.75" customHeight="1" x14ac:dyDescent="0.15">
      <c r="A422" s="13"/>
      <c r="B422" s="74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 spans="1:29" ht="15.75" customHeight="1" x14ac:dyDescent="0.15">
      <c r="A423" s="13"/>
      <c r="B423" s="74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 spans="1:29" ht="15.75" customHeight="1" x14ac:dyDescent="0.15">
      <c r="A424" s="13"/>
      <c r="B424" s="74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 spans="1:29" ht="15.75" customHeight="1" x14ac:dyDescent="0.15">
      <c r="A425" s="13"/>
      <c r="B425" s="74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 spans="1:29" ht="15.75" customHeight="1" x14ac:dyDescent="0.15">
      <c r="A426" s="13"/>
      <c r="B426" s="74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 spans="1:29" ht="15.75" customHeight="1" x14ac:dyDescent="0.15">
      <c r="A427" s="13"/>
      <c r="B427" s="74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 spans="1:29" ht="15.75" customHeight="1" x14ac:dyDescent="0.15">
      <c r="A428" s="13"/>
      <c r="B428" s="74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 spans="1:29" ht="15.75" customHeight="1" x14ac:dyDescent="0.15">
      <c r="A429" s="13"/>
      <c r="B429" s="74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 spans="1:29" ht="15.75" customHeight="1" x14ac:dyDescent="0.15">
      <c r="A430" s="13"/>
      <c r="B430" s="74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 spans="1:29" ht="15.75" customHeight="1" x14ac:dyDescent="0.15">
      <c r="A431" s="13"/>
      <c r="B431" s="74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 spans="1:29" ht="15.75" customHeight="1" x14ac:dyDescent="0.15">
      <c r="A432" s="13"/>
      <c r="B432" s="74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 spans="1:29" ht="15.75" customHeight="1" x14ac:dyDescent="0.15">
      <c r="A433" s="13"/>
      <c r="B433" s="74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 spans="1:29" ht="15.75" customHeight="1" x14ac:dyDescent="0.15">
      <c r="A434" s="13"/>
      <c r="B434" s="74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 spans="1:29" ht="15.75" customHeight="1" x14ac:dyDescent="0.15">
      <c r="A435" s="13"/>
      <c r="B435" s="74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 spans="1:29" ht="15.75" customHeight="1" x14ac:dyDescent="0.15">
      <c r="A436" s="13"/>
      <c r="B436" s="74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 spans="1:29" ht="15.75" customHeight="1" x14ac:dyDescent="0.15">
      <c r="A437" s="13"/>
      <c r="B437" s="74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 spans="1:29" ht="15.75" customHeight="1" x14ac:dyDescent="0.15">
      <c r="A438" s="13"/>
      <c r="B438" s="74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 spans="1:29" ht="15.75" customHeight="1" x14ac:dyDescent="0.15">
      <c r="A439" s="13"/>
      <c r="B439" s="74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 spans="1:29" ht="15.75" customHeight="1" x14ac:dyDescent="0.15">
      <c r="A440" s="13"/>
      <c r="B440" s="74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 spans="1:29" ht="15.75" customHeight="1" x14ac:dyDescent="0.15">
      <c r="A441" s="13"/>
      <c r="B441" s="74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 spans="1:29" ht="15.75" customHeight="1" x14ac:dyDescent="0.15">
      <c r="A442" s="13"/>
      <c r="B442" s="74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 spans="1:29" ht="15.75" customHeight="1" x14ac:dyDescent="0.15">
      <c r="A443" s="13"/>
      <c r="B443" s="74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 spans="1:29" ht="15.75" customHeight="1" x14ac:dyDescent="0.15">
      <c r="A444" s="13"/>
      <c r="B444" s="74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 spans="1:29" ht="15.75" customHeight="1" x14ac:dyDescent="0.15">
      <c r="A445" s="13"/>
      <c r="B445" s="74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 spans="1:29" ht="15.75" customHeight="1" x14ac:dyDescent="0.15">
      <c r="A446" s="13"/>
      <c r="B446" s="74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 spans="1:29" ht="15.75" customHeight="1" x14ac:dyDescent="0.15">
      <c r="A447" s="13"/>
      <c r="B447" s="74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 spans="1:29" ht="15.75" customHeight="1" x14ac:dyDescent="0.15">
      <c r="A448" s="13"/>
      <c r="B448" s="74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 spans="1:29" ht="15.75" customHeight="1" x14ac:dyDescent="0.15">
      <c r="A449" s="13"/>
      <c r="B449" s="74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 spans="1:29" ht="15.75" customHeight="1" x14ac:dyDescent="0.15">
      <c r="A450" s="13"/>
      <c r="B450" s="74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 spans="1:29" ht="15.75" customHeight="1" x14ac:dyDescent="0.15">
      <c r="A451" s="13"/>
      <c r="B451" s="74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 spans="1:29" ht="15.75" customHeight="1" x14ac:dyDescent="0.15">
      <c r="A452" s="13"/>
      <c r="B452" s="74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 spans="1:29" ht="15.75" customHeight="1" x14ac:dyDescent="0.15">
      <c r="A453" s="13"/>
      <c r="B453" s="74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 spans="1:29" ht="15.75" customHeight="1" x14ac:dyDescent="0.15">
      <c r="A454" s="13"/>
      <c r="B454" s="74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 spans="1:29" ht="15.75" customHeight="1" x14ac:dyDescent="0.15">
      <c r="A455" s="13"/>
      <c r="B455" s="74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 spans="1:29" ht="15.75" customHeight="1" x14ac:dyDescent="0.15">
      <c r="A456" s="13"/>
      <c r="B456" s="74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 spans="1:29" ht="15.75" customHeight="1" x14ac:dyDescent="0.15">
      <c r="A457" s="13"/>
      <c r="B457" s="74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 spans="1:29" ht="15.75" customHeight="1" x14ac:dyDescent="0.15">
      <c r="A458" s="13"/>
      <c r="B458" s="74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 spans="1:29" ht="15.75" customHeight="1" x14ac:dyDescent="0.15">
      <c r="A459" s="13"/>
      <c r="B459" s="74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 spans="1:29" ht="15.75" customHeight="1" x14ac:dyDescent="0.15">
      <c r="A460" s="13"/>
      <c r="B460" s="74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 spans="1:29" ht="15.75" customHeight="1" x14ac:dyDescent="0.15">
      <c r="A461" s="13"/>
      <c r="B461" s="74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 spans="1:29" ht="15.75" customHeight="1" x14ac:dyDescent="0.15">
      <c r="A462" s="13"/>
      <c r="B462" s="74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 spans="1:29" ht="15.75" customHeight="1" x14ac:dyDescent="0.15">
      <c r="A463" s="13"/>
      <c r="B463" s="74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 spans="1:29" ht="15.75" customHeight="1" x14ac:dyDescent="0.15">
      <c r="A464" s="13"/>
      <c r="B464" s="74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 spans="1:29" ht="15.75" customHeight="1" x14ac:dyDescent="0.15">
      <c r="A465" s="13"/>
      <c r="B465" s="74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 spans="1:29" ht="15.75" customHeight="1" x14ac:dyDescent="0.15">
      <c r="A466" s="13"/>
      <c r="B466" s="74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 spans="1:29" ht="15.75" customHeight="1" x14ac:dyDescent="0.15">
      <c r="A467" s="13"/>
      <c r="B467" s="74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 spans="1:29" ht="15.75" customHeight="1" x14ac:dyDescent="0.15">
      <c r="A468" s="13"/>
      <c r="B468" s="74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 spans="1:29" ht="15.75" customHeight="1" x14ac:dyDescent="0.15">
      <c r="A469" s="13"/>
      <c r="B469" s="74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 spans="1:29" ht="15.75" customHeight="1" x14ac:dyDescent="0.15">
      <c r="A470" s="13"/>
      <c r="B470" s="74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 spans="1:29" ht="15.75" customHeight="1" x14ac:dyDescent="0.15">
      <c r="A471" s="13"/>
      <c r="B471" s="74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 spans="1:29" ht="15.75" customHeight="1" x14ac:dyDescent="0.15">
      <c r="A472" s="13"/>
      <c r="B472" s="74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 spans="1:29" ht="15.75" customHeight="1" x14ac:dyDescent="0.15">
      <c r="A473" s="13"/>
      <c r="B473" s="74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 spans="1:29" ht="15.75" customHeight="1" x14ac:dyDescent="0.15">
      <c r="A474" s="13"/>
      <c r="B474" s="74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 spans="1:29" ht="15.75" customHeight="1" x14ac:dyDescent="0.15">
      <c r="A475" s="13"/>
      <c r="B475" s="74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 spans="1:29" ht="15.75" customHeight="1" x14ac:dyDescent="0.15">
      <c r="A476" s="13"/>
      <c r="B476" s="74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 spans="1:29" ht="15.75" customHeight="1" x14ac:dyDescent="0.15">
      <c r="A477" s="13"/>
      <c r="B477" s="74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 spans="1:29" ht="15.75" customHeight="1" x14ac:dyDescent="0.15">
      <c r="A478" s="13"/>
      <c r="B478" s="74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 spans="1:29" ht="15.75" customHeight="1" x14ac:dyDescent="0.15">
      <c r="A479" s="13"/>
      <c r="B479" s="74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 spans="1:29" ht="15.75" customHeight="1" x14ac:dyDescent="0.15">
      <c r="A480" s="13"/>
      <c r="B480" s="74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 spans="1:29" ht="15.75" customHeight="1" x14ac:dyDescent="0.15">
      <c r="A481" s="13"/>
      <c r="B481" s="74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 spans="1:29" ht="15.75" customHeight="1" x14ac:dyDescent="0.15">
      <c r="A482" s="13"/>
      <c r="B482" s="74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 spans="1:29" ht="15.75" customHeight="1" x14ac:dyDescent="0.15">
      <c r="A483" s="13"/>
      <c r="B483" s="74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 spans="1:29" ht="15.75" customHeight="1" x14ac:dyDescent="0.15">
      <c r="A484" s="13"/>
      <c r="B484" s="74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 spans="1:29" ht="15.75" customHeight="1" x14ac:dyDescent="0.15">
      <c r="A485" s="13"/>
      <c r="B485" s="74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 spans="1:29" ht="15.75" customHeight="1" x14ac:dyDescent="0.15">
      <c r="A486" s="13"/>
      <c r="B486" s="74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 spans="1:29" ht="15.75" customHeight="1" x14ac:dyDescent="0.15">
      <c r="A487" s="13"/>
      <c r="B487" s="74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 spans="1:29" ht="15.75" customHeight="1" x14ac:dyDescent="0.15">
      <c r="A488" s="13"/>
      <c r="B488" s="74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 spans="1:29" ht="15.75" customHeight="1" x14ac:dyDescent="0.15">
      <c r="A489" s="13"/>
      <c r="B489" s="74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 spans="1:29" ht="15.75" customHeight="1" x14ac:dyDescent="0.15">
      <c r="A490" s="13"/>
      <c r="B490" s="74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 spans="1:29" ht="15.75" customHeight="1" x14ac:dyDescent="0.15">
      <c r="A491" s="13"/>
      <c r="B491" s="74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 spans="1:29" ht="15.75" customHeight="1" x14ac:dyDescent="0.15">
      <c r="A492" s="13"/>
      <c r="B492" s="74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 spans="1:29" ht="15.75" customHeight="1" x14ac:dyDescent="0.15">
      <c r="A493" s="13"/>
      <c r="B493" s="74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 spans="1:29" ht="15.75" customHeight="1" x14ac:dyDescent="0.15">
      <c r="A494" s="13"/>
      <c r="B494" s="74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 spans="1:29" ht="15.75" customHeight="1" x14ac:dyDescent="0.15">
      <c r="A495" s="13"/>
      <c r="B495" s="74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 spans="1:29" ht="15.75" customHeight="1" x14ac:dyDescent="0.15">
      <c r="A496" s="13"/>
      <c r="B496" s="74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 spans="1:29" ht="15.75" customHeight="1" x14ac:dyDescent="0.15">
      <c r="A497" s="13"/>
      <c r="B497" s="74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 spans="1:29" ht="15.75" customHeight="1" x14ac:dyDescent="0.15">
      <c r="A498" s="13"/>
      <c r="B498" s="74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 spans="1:29" ht="15.75" customHeight="1" x14ac:dyDescent="0.15">
      <c r="A499" s="13"/>
      <c r="B499" s="74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 spans="1:29" ht="15.75" customHeight="1" x14ac:dyDescent="0.15">
      <c r="A500" s="13"/>
      <c r="B500" s="74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 spans="1:29" ht="15.75" customHeight="1" x14ac:dyDescent="0.15">
      <c r="A501" s="13"/>
      <c r="B501" s="74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 spans="1:29" ht="15.75" customHeight="1" x14ac:dyDescent="0.15">
      <c r="A502" s="13"/>
      <c r="B502" s="74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 spans="1:29" ht="15.75" customHeight="1" x14ac:dyDescent="0.15">
      <c r="A503" s="13"/>
      <c r="B503" s="74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 spans="1:29" ht="15.75" customHeight="1" x14ac:dyDescent="0.15">
      <c r="A504" s="13"/>
      <c r="B504" s="74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 spans="1:29" ht="15.75" customHeight="1" x14ac:dyDescent="0.15">
      <c r="A505" s="13"/>
      <c r="B505" s="74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 spans="1:29" ht="15.75" customHeight="1" x14ac:dyDescent="0.15">
      <c r="A506" s="13"/>
      <c r="B506" s="74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 spans="1:29" ht="15.75" customHeight="1" x14ac:dyDescent="0.15">
      <c r="A507" s="13"/>
      <c r="B507" s="74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 spans="1:29" ht="15.75" customHeight="1" x14ac:dyDescent="0.15">
      <c r="A508" s="13"/>
      <c r="B508" s="74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 spans="1:29" ht="15.75" customHeight="1" x14ac:dyDescent="0.15">
      <c r="A509" s="13"/>
      <c r="B509" s="74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 spans="1:29" ht="15.75" customHeight="1" x14ac:dyDescent="0.15">
      <c r="A510" s="13"/>
      <c r="B510" s="74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 spans="1:29" ht="15.75" customHeight="1" x14ac:dyDescent="0.15">
      <c r="A511" s="13"/>
      <c r="B511" s="74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 spans="1:29" ht="15.75" customHeight="1" x14ac:dyDescent="0.15">
      <c r="A512" s="13"/>
      <c r="B512" s="74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 spans="1:29" ht="15.75" customHeight="1" x14ac:dyDescent="0.15">
      <c r="A513" s="13"/>
      <c r="B513" s="74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 spans="1:29" ht="15.75" customHeight="1" x14ac:dyDescent="0.15">
      <c r="A514" s="13"/>
      <c r="B514" s="74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 spans="1:29" ht="15.75" customHeight="1" x14ac:dyDescent="0.15">
      <c r="A515" s="13"/>
      <c r="B515" s="74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 spans="1:29" ht="15.75" customHeight="1" x14ac:dyDescent="0.15">
      <c r="A516" s="13"/>
      <c r="B516" s="74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 spans="1:29" ht="15.75" customHeight="1" x14ac:dyDescent="0.15">
      <c r="A517" s="13"/>
      <c r="B517" s="74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 spans="1:29" ht="15.75" customHeight="1" x14ac:dyDescent="0.15">
      <c r="A518" s="13"/>
      <c r="B518" s="74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 spans="1:29" ht="15.75" customHeight="1" x14ac:dyDescent="0.15">
      <c r="A519" s="13"/>
      <c r="B519" s="74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 spans="1:29" ht="15.75" customHeight="1" x14ac:dyDescent="0.15">
      <c r="A520" s="13"/>
      <c r="B520" s="74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 spans="1:29" ht="15.75" customHeight="1" x14ac:dyDescent="0.15">
      <c r="A521" s="13"/>
      <c r="B521" s="74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 spans="1:29" ht="15.75" customHeight="1" x14ac:dyDescent="0.15">
      <c r="A522" s="13"/>
      <c r="B522" s="74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 spans="1:29" ht="15.75" customHeight="1" x14ac:dyDescent="0.15">
      <c r="A523" s="13"/>
      <c r="B523" s="74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 spans="1:29" ht="15.75" customHeight="1" x14ac:dyDescent="0.15">
      <c r="A524" s="13"/>
      <c r="B524" s="74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 spans="1:29" ht="15.75" customHeight="1" x14ac:dyDescent="0.15">
      <c r="A525" s="13"/>
      <c r="B525" s="74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 spans="1:29" ht="15.75" customHeight="1" x14ac:dyDescent="0.15">
      <c r="A526" s="13"/>
      <c r="B526" s="74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 spans="1:29" ht="15.75" customHeight="1" x14ac:dyDescent="0.15">
      <c r="A527" s="13"/>
      <c r="B527" s="74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 spans="1:29" ht="15.75" customHeight="1" x14ac:dyDescent="0.15">
      <c r="A528" s="13"/>
      <c r="B528" s="74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 spans="1:29" ht="15.75" customHeight="1" x14ac:dyDescent="0.15">
      <c r="A529" s="13"/>
      <c r="B529" s="74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 spans="1:29" ht="15.75" customHeight="1" x14ac:dyDescent="0.15">
      <c r="A530" s="13"/>
      <c r="B530" s="74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 spans="1:29" ht="15.75" customHeight="1" x14ac:dyDescent="0.15">
      <c r="A531" s="13"/>
      <c r="B531" s="74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 spans="1:29" ht="15.75" customHeight="1" x14ac:dyDescent="0.15">
      <c r="A532" s="13"/>
      <c r="B532" s="74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 spans="1:29" ht="15.75" customHeight="1" x14ac:dyDescent="0.15">
      <c r="A533" s="13"/>
      <c r="B533" s="74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 spans="1:29" ht="15.75" customHeight="1" x14ac:dyDescent="0.15">
      <c r="A534" s="13"/>
      <c r="B534" s="74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 spans="1:29" ht="15.75" customHeight="1" x14ac:dyDescent="0.15">
      <c r="A535" s="13"/>
      <c r="B535" s="74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 spans="1:29" ht="15.75" customHeight="1" x14ac:dyDescent="0.15">
      <c r="A536" s="13"/>
      <c r="B536" s="74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 spans="1:29" ht="15.75" customHeight="1" x14ac:dyDescent="0.15">
      <c r="A537" s="13"/>
      <c r="B537" s="74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 spans="1:29" ht="15.75" customHeight="1" x14ac:dyDescent="0.15">
      <c r="A538" s="13"/>
      <c r="B538" s="74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 spans="1:29" ht="15.75" customHeight="1" x14ac:dyDescent="0.15">
      <c r="A539" s="13"/>
      <c r="B539" s="74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 spans="1:29" ht="15.75" customHeight="1" x14ac:dyDescent="0.15">
      <c r="A540" s="13"/>
      <c r="B540" s="74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 spans="1:29" ht="15.75" customHeight="1" x14ac:dyDescent="0.15">
      <c r="A541" s="13"/>
      <c r="B541" s="74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 spans="1:29" ht="15.75" customHeight="1" x14ac:dyDescent="0.15">
      <c r="A542" s="13"/>
      <c r="B542" s="74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 spans="1:29" ht="15.75" customHeight="1" x14ac:dyDescent="0.15">
      <c r="A543" s="13"/>
      <c r="B543" s="74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 spans="1:29" ht="15.75" customHeight="1" x14ac:dyDescent="0.15">
      <c r="A544" s="13"/>
      <c r="B544" s="74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 spans="1:29" ht="15.75" customHeight="1" x14ac:dyDescent="0.15">
      <c r="A545" s="13"/>
      <c r="B545" s="74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 spans="1:29" ht="15.75" customHeight="1" x14ac:dyDescent="0.15">
      <c r="A546" s="13"/>
      <c r="B546" s="74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 spans="1:29" ht="15.75" customHeight="1" x14ac:dyDescent="0.15">
      <c r="A547" s="13"/>
      <c r="B547" s="74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 spans="1:29" ht="15.75" customHeight="1" x14ac:dyDescent="0.15">
      <c r="A548" s="13"/>
      <c r="B548" s="74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 spans="1:29" ht="15.75" customHeight="1" x14ac:dyDescent="0.15">
      <c r="A549" s="13"/>
      <c r="B549" s="74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 spans="1:29" ht="15.75" customHeight="1" x14ac:dyDescent="0.15">
      <c r="A550" s="13"/>
      <c r="B550" s="74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 spans="1:29" ht="15.75" customHeight="1" x14ac:dyDescent="0.15">
      <c r="A551" s="13"/>
      <c r="B551" s="74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 spans="1:29" ht="15.75" customHeight="1" x14ac:dyDescent="0.15">
      <c r="A552" s="13"/>
      <c r="B552" s="74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 spans="1:29" ht="15.75" customHeight="1" x14ac:dyDescent="0.15">
      <c r="A553" s="13"/>
      <c r="B553" s="74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 spans="1:29" ht="15.75" customHeight="1" x14ac:dyDescent="0.15">
      <c r="A554" s="13"/>
      <c r="B554" s="74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 spans="1:29" ht="15.75" customHeight="1" x14ac:dyDescent="0.15">
      <c r="A555" s="13"/>
      <c r="B555" s="74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 spans="1:29" ht="15.75" customHeight="1" x14ac:dyDescent="0.15">
      <c r="A556" s="13"/>
      <c r="B556" s="74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 spans="1:29" ht="15.75" customHeight="1" x14ac:dyDescent="0.15">
      <c r="A557" s="13"/>
      <c r="B557" s="74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 spans="1:29" ht="15.75" customHeight="1" x14ac:dyDescent="0.15">
      <c r="A558" s="13"/>
      <c r="B558" s="74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 spans="1:29" ht="15.75" customHeight="1" x14ac:dyDescent="0.15">
      <c r="A559" s="13"/>
      <c r="B559" s="74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 spans="1:29" ht="15.75" customHeight="1" x14ac:dyDescent="0.15">
      <c r="A560" s="13"/>
      <c r="B560" s="74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 spans="1:29" ht="15.75" customHeight="1" x14ac:dyDescent="0.15">
      <c r="A561" s="13"/>
      <c r="B561" s="74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 spans="1:29" ht="15.75" customHeight="1" x14ac:dyDescent="0.15">
      <c r="A562" s="13"/>
      <c r="B562" s="74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 spans="1:29" ht="15.75" customHeight="1" x14ac:dyDescent="0.15">
      <c r="A563" s="13"/>
      <c r="B563" s="74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 spans="1:29" ht="15.75" customHeight="1" x14ac:dyDescent="0.15">
      <c r="A564" s="13"/>
      <c r="B564" s="74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 spans="1:29" ht="15.75" customHeight="1" x14ac:dyDescent="0.15">
      <c r="A565" s="13"/>
      <c r="B565" s="74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 spans="1:29" ht="15.75" customHeight="1" x14ac:dyDescent="0.15">
      <c r="A566" s="13"/>
      <c r="B566" s="74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 spans="1:29" ht="15.75" customHeight="1" x14ac:dyDescent="0.15">
      <c r="A567" s="13"/>
      <c r="B567" s="74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 spans="1:29" ht="15.75" customHeight="1" x14ac:dyDescent="0.15">
      <c r="A568" s="13"/>
      <c r="B568" s="74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 spans="1:29" ht="15.75" customHeight="1" x14ac:dyDescent="0.15">
      <c r="A569" s="13"/>
      <c r="B569" s="74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 spans="1:29" ht="15.75" customHeight="1" x14ac:dyDescent="0.15">
      <c r="A570" s="13"/>
      <c r="B570" s="74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 spans="1:29" ht="15.75" customHeight="1" x14ac:dyDescent="0.15">
      <c r="A571" s="13"/>
      <c r="B571" s="74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 spans="1:29" ht="15.75" customHeight="1" x14ac:dyDescent="0.15">
      <c r="A572" s="13"/>
      <c r="B572" s="74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 spans="1:29" ht="15.75" customHeight="1" x14ac:dyDescent="0.15">
      <c r="A573" s="13"/>
      <c r="B573" s="74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 spans="1:29" ht="15.75" customHeight="1" x14ac:dyDescent="0.15">
      <c r="A574" s="13"/>
      <c r="B574" s="74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 spans="1:29" ht="15.75" customHeight="1" x14ac:dyDescent="0.15">
      <c r="A575" s="13"/>
      <c r="B575" s="74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 spans="1:29" ht="15.75" customHeight="1" x14ac:dyDescent="0.15">
      <c r="A576" s="13"/>
      <c r="B576" s="74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 spans="1:29" ht="15.75" customHeight="1" x14ac:dyDescent="0.15">
      <c r="A577" s="13"/>
      <c r="B577" s="74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 spans="1:29" ht="15.75" customHeight="1" x14ac:dyDescent="0.15">
      <c r="A578" s="13"/>
      <c r="B578" s="74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 spans="1:29" ht="15.75" customHeight="1" x14ac:dyDescent="0.15">
      <c r="A579" s="13"/>
      <c r="B579" s="74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 spans="1:29" ht="15.75" customHeight="1" x14ac:dyDescent="0.15">
      <c r="A580" s="13"/>
      <c r="B580" s="74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 spans="1:29" ht="15.75" customHeight="1" x14ac:dyDescent="0.15">
      <c r="A581" s="13"/>
      <c r="B581" s="74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 spans="1:29" ht="15.75" customHeight="1" x14ac:dyDescent="0.15">
      <c r="A582" s="13"/>
      <c r="B582" s="74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 spans="1:29" ht="15.75" customHeight="1" x14ac:dyDescent="0.15">
      <c r="A583" s="13"/>
      <c r="B583" s="74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 spans="1:29" ht="15.75" customHeight="1" x14ac:dyDescent="0.15">
      <c r="A584" s="13"/>
      <c r="B584" s="74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 spans="1:29" ht="15.75" customHeight="1" x14ac:dyDescent="0.15">
      <c r="A585" s="13"/>
      <c r="B585" s="74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 spans="1:29" ht="15.75" customHeight="1" x14ac:dyDescent="0.15">
      <c r="A586" s="13"/>
      <c r="B586" s="74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 spans="1:29" ht="15.75" customHeight="1" x14ac:dyDescent="0.15">
      <c r="A587" s="13"/>
      <c r="B587" s="74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 spans="1:29" ht="15.75" customHeight="1" x14ac:dyDescent="0.15">
      <c r="A588" s="13"/>
      <c r="B588" s="74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 spans="1:29" ht="15.75" customHeight="1" x14ac:dyDescent="0.15">
      <c r="A589" s="13"/>
      <c r="B589" s="74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 spans="1:29" ht="15.75" customHeight="1" x14ac:dyDescent="0.15">
      <c r="A590" s="13"/>
      <c r="B590" s="74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 spans="1:29" ht="15.75" customHeight="1" x14ac:dyDescent="0.15">
      <c r="A591" s="13"/>
      <c r="B591" s="74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 spans="1:29" ht="15.75" customHeight="1" x14ac:dyDescent="0.15">
      <c r="A592" s="13"/>
      <c r="B592" s="74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 spans="1:29" ht="15.75" customHeight="1" x14ac:dyDescent="0.15">
      <c r="A593" s="13"/>
      <c r="B593" s="74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 spans="1:29" ht="15.75" customHeight="1" x14ac:dyDescent="0.15">
      <c r="A594" s="13"/>
      <c r="B594" s="74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 spans="1:29" ht="15.75" customHeight="1" x14ac:dyDescent="0.15">
      <c r="A595" s="13"/>
      <c r="B595" s="74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 spans="1:29" ht="15.75" customHeight="1" x14ac:dyDescent="0.15">
      <c r="A596" s="13"/>
      <c r="B596" s="74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 spans="1:29" ht="15.75" customHeight="1" x14ac:dyDescent="0.15">
      <c r="A597" s="13"/>
      <c r="B597" s="74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 spans="1:29" ht="15.75" customHeight="1" x14ac:dyDescent="0.15">
      <c r="A598" s="13"/>
      <c r="B598" s="74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 spans="1:29" ht="15.75" customHeight="1" x14ac:dyDescent="0.15">
      <c r="A599" s="13"/>
      <c r="B599" s="74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 spans="1:29" ht="15.75" customHeight="1" x14ac:dyDescent="0.15">
      <c r="A600" s="13"/>
      <c r="B600" s="74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 spans="1:29" ht="15.75" customHeight="1" x14ac:dyDescent="0.15">
      <c r="A601" s="13"/>
      <c r="B601" s="74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 spans="1:29" ht="15.75" customHeight="1" x14ac:dyDescent="0.15">
      <c r="A602" s="13"/>
      <c r="B602" s="74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 spans="1:29" ht="15.75" customHeight="1" x14ac:dyDescent="0.15">
      <c r="A603" s="13"/>
      <c r="B603" s="74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 spans="1:29" ht="15.75" customHeight="1" x14ac:dyDescent="0.15">
      <c r="A604" s="13"/>
      <c r="B604" s="74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 spans="1:29" ht="15.75" customHeight="1" x14ac:dyDescent="0.15">
      <c r="A605" s="13"/>
      <c r="B605" s="74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 spans="1:29" ht="15.75" customHeight="1" x14ac:dyDescent="0.15">
      <c r="A606" s="13"/>
      <c r="B606" s="74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 spans="1:29" ht="15.75" customHeight="1" x14ac:dyDescent="0.15">
      <c r="A607" s="13"/>
      <c r="B607" s="74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 spans="1:29" ht="15.75" customHeight="1" x14ac:dyDescent="0.15">
      <c r="A608" s="13"/>
      <c r="B608" s="74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 spans="1:29" ht="15.75" customHeight="1" x14ac:dyDescent="0.15">
      <c r="A609" s="13"/>
      <c r="B609" s="74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 spans="1:29" ht="15.75" customHeight="1" x14ac:dyDescent="0.15">
      <c r="A610" s="13"/>
      <c r="B610" s="74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 spans="1:29" ht="15.75" customHeight="1" x14ac:dyDescent="0.15">
      <c r="A611" s="13"/>
      <c r="B611" s="74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 spans="1:29" ht="15.75" customHeight="1" x14ac:dyDescent="0.15">
      <c r="A612" s="13"/>
      <c r="B612" s="74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 spans="1:29" ht="15.75" customHeight="1" x14ac:dyDescent="0.15">
      <c r="A613" s="13"/>
      <c r="B613" s="74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 spans="1:29" ht="15.75" customHeight="1" x14ac:dyDescent="0.15">
      <c r="A614" s="13"/>
      <c r="B614" s="74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 spans="1:29" ht="15.75" customHeight="1" x14ac:dyDescent="0.15">
      <c r="A615" s="13"/>
      <c r="B615" s="74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 spans="1:29" ht="15.75" customHeight="1" x14ac:dyDescent="0.15">
      <c r="A616" s="13"/>
      <c r="B616" s="74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 spans="1:29" ht="15.75" customHeight="1" x14ac:dyDescent="0.15">
      <c r="A617" s="13"/>
      <c r="B617" s="74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 spans="1:29" ht="15.75" customHeight="1" x14ac:dyDescent="0.15">
      <c r="A618" s="13"/>
      <c r="B618" s="74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 spans="1:29" ht="15.75" customHeight="1" x14ac:dyDescent="0.15">
      <c r="A619" s="13"/>
      <c r="B619" s="74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 spans="1:29" ht="15.75" customHeight="1" x14ac:dyDescent="0.15">
      <c r="A620" s="13"/>
      <c r="B620" s="74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 spans="1:29" ht="15.75" customHeight="1" x14ac:dyDescent="0.15">
      <c r="A621" s="13"/>
      <c r="B621" s="74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 spans="1:29" ht="15.75" customHeight="1" x14ac:dyDescent="0.15">
      <c r="A622" s="13"/>
      <c r="B622" s="74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 spans="1:29" ht="15.75" customHeight="1" x14ac:dyDescent="0.15">
      <c r="A623" s="13"/>
      <c r="B623" s="74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 spans="1:29" ht="15.75" customHeight="1" x14ac:dyDescent="0.15">
      <c r="A624" s="13"/>
      <c r="B624" s="74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 spans="1:29" ht="15.75" customHeight="1" x14ac:dyDescent="0.15">
      <c r="A625" s="13"/>
      <c r="B625" s="74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 spans="1:29" ht="15.75" customHeight="1" x14ac:dyDescent="0.15">
      <c r="A626" s="13"/>
      <c r="B626" s="74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 spans="1:29" ht="15.75" customHeight="1" x14ac:dyDescent="0.15">
      <c r="A627" s="13"/>
      <c r="B627" s="74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 spans="1:29" ht="15.75" customHeight="1" x14ac:dyDescent="0.15">
      <c r="A628" s="13"/>
      <c r="B628" s="74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 spans="1:29" ht="15.75" customHeight="1" x14ac:dyDescent="0.15">
      <c r="A629" s="13"/>
      <c r="B629" s="74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 spans="1:29" ht="15.75" customHeight="1" x14ac:dyDescent="0.15">
      <c r="A630" s="13"/>
      <c r="B630" s="74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 spans="1:29" ht="15.75" customHeight="1" x14ac:dyDescent="0.15">
      <c r="A631" s="13"/>
      <c r="B631" s="74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 spans="1:29" ht="15.75" customHeight="1" x14ac:dyDescent="0.15">
      <c r="A632" s="13"/>
      <c r="B632" s="74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 spans="1:29" ht="15.75" customHeight="1" x14ac:dyDescent="0.15">
      <c r="A633" s="13"/>
      <c r="B633" s="74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 spans="1:29" ht="15.75" customHeight="1" x14ac:dyDescent="0.15">
      <c r="A634" s="13"/>
      <c r="B634" s="74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 spans="1:29" ht="15.75" customHeight="1" x14ac:dyDescent="0.15">
      <c r="A635" s="13"/>
      <c r="B635" s="74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 spans="1:29" ht="15.75" customHeight="1" x14ac:dyDescent="0.15">
      <c r="A636" s="13"/>
      <c r="B636" s="74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 spans="1:29" ht="15.75" customHeight="1" x14ac:dyDescent="0.15">
      <c r="A637" s="13"/>
      <c r="B637" s="74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 spans="1:29" ht="15.75" customHeight="1" x14ac:dyDescent="0.15">
      <c r="A638" s="13"/>
      <c r="B638" s="74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 spans="1:29" ht="15.75" customHeight="1" x14ac:dyDescent="0.15">
      <c r="A639" s="13"/>
      <c r="B639" s="74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 spans="1:29" ht="15.75" customHeight="1" x14ac:dyDescent="0.15">
      <c r="A640" s="13"/>
      <c r="B640" s="74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 spans="1:29" ht="15.75" customHeight="1" x14ac:dyDescent="0.15">
      <c r="A641" s="13"/>
      <c r="B641" s="74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 spans="1:29" ht="15.75" customHeight="1" x14ac:dyDescent="0.15">
      <c r="A642" s="13"/>
      <c r="B642" s="74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 spans="1:29" ht="15.75" customHeight="1" x14ac:dyDescent="0.15">
      <c r="A643" s="13"/>
      <c r="B643" s="74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 spans="1:29" ht="15.75" customHeight="1" x14ac:dyDescent="0.15">
      <c r="A644" s="13"/>
      <c r="B644" s="74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 spans="1:29" ht="15.75" customHeight="1" x14ac:dyDescent="0.15">
      <c r="A645" s="13"/>
      <c r="B645" s="74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 spans="1:29" ht="15.75" customHeight="1" x14ac:dyDescent="0.15">
      <c r="A646" s="13"/>
      <c r="B646" s="74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 spans="1:29" ht="15.75" customHeight="1" x14ac:dyDescent="0.15">
      <c r="A647" s="13"/>
      <c r="B647" s="74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 spans="1:29" ht="15.75" customHeight="1" x14ac:dyDescent="0.15">
      <c r="A648" s="13"/>
      <c r="B648" s="74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 spans="1:29" ht="15.75" customHeight="1" x14ac:dyDescent="0.15">
      <c r="A649" s="13"/>
      <c r="B649" s="74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 spans="1:29" ht="15.75" customHeight="1" x14ac:dyDescent="0.15">
      <c r="A650" s="13"/>
      <c r="B650" s="74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 spans="1:29" ht="15.75" customHeight="1" x14ac:dyDescent="0.15">
      <c r="A651" s="13"/>
      <c r="B651" s="74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 spans="1:29" ht="15.75" customHeight="1" x14ac:dyDescent="0.15">
      <c r="A652" s="13"/>
      <c r="B652" s="74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 spans="1:29" ht="15.75" customHeight="1" x14ac:dyDescent="0.15">
      <c r="A653" s="13"/>
      <c r="B653" s="74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 spans="1:29" ht="15.75" customHeight="1" x14ac:dyDescent="0.15">
      <c r="A654" s="13"/>
      <c r="B654" s="74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 spans="1:29" ht="15.75" customHeight="1" x14ac:dyDescent="0.15">
      <c r="A655" s="13"/>
      <c r="B655" s="74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 spans="1:29" ht="15.75" customHeight="1" x14ac:dyDescent="0.15">
      <c r="A656" s="13"/>
      <c r="B656" s="74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 spans="1:29" ht="15.75" customHeight="1" x14ac:dyDescent="0.15">
      <c r="A657" s="13"/>
      <c r="B657" s="74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 spans="1:29" ht="15.75" customHeight="1" x14ac:dyDescent="0.15">
      <c r="A658" s="13"/>
      <c r="B658" s="74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 spans="1:29" ht="15.75" customHeight="1" x14ac:dyDescent="0.15">
      <c r="A659" s="13"/>
      <c r="B659" s="74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 spans="1:29" ht="15.75" customHeight="1" x14ac:dyDescent="0.15">
      <c r="A660" s="13"/>
      <c r="B660" s="74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 spans="1:29" ht="15.75" customHeight="1" x14ac:dyDescent="0.15">
      <c r="A661" s="13"/>
      <c r="B661" s="74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 spans="1:29" ht="15.75" customHeight="1" x14ac:dyDescent="0.15">
      <c r="A662" s="13"/>
      <c r="B662" s="74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 spans="1:29" ht="15.75" customHeight="1" x14ac:dyDescent="0.15">
      <c r="A663" s="13"/>
      <c r="B663" s="74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 spans="1:29" ht="15.75" customHeight="1" x14ac:dyDescent="0.15">
      <c r="A664" s="13"/>
      <c r="B664" s="74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 spans="1:29" ht="15.75" customHeight="1" x14ac:dyDescent="0.15">
      <c r="A665" s="13"/>
      <c r="B665" s="74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 spans="1:29" ht="15.75" customHeight="1" x14ac:dyDescent="0.15">
      <c r="A666" s="13"/>
      <c r="B666" s="74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 spans="1:29" ht="15.75" customHeight="1" x14ac:dyDescent="0.15">
      <c r="A667" s="13"/>
      <c r="B667" s="74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 spans="1:29" ht="15.75" customHeight="1" x14ac:dyDescent="0.15">
      <c r="A668" s="13"/>
      <c r="B668" s="74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 spans="1:29" ht="15.75" customHeight="1" x14ac:dyDescent="0.15">
      <c r="A669" s="13"/>
      <c r="B669" s="74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 spans="1:29" ht="15.75" customHeight="1" x14ac:dyDescent="0.15">
      <c r="A670" s="13"/>
      <c r="B670" s="74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 spans="1:29" ht="15.75" customHeight="1" x14ac:dyDescent="0.15">
      <c r="A671" s="13"/>
      <c r="B671" s="74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 spans="1:29" ht="15.75" customHeight="1" x14ac:dyDescent="0.15">
      <c r="A672" s="13"/>
      <c r="B672" s="74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 spans="1:29" ht="15.75" customHeight="1" x14ac:dyDescent="0.15">
      <c r="A673" s="13"/>
      <c r="B673" s="74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 spans="1:29" ht="15.75" customHeight="1" x14ac:dyDescent="0.15">
      <c r="A674" s="13"/>
      <c r="B674" s="74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 spans="1:29" ht="15.75" customHeight="1" x14ac:dyDescent="0.15">
      <c r="A675" s="13"/>
      <c r="B675" s="74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 spans="1:29" ht="15.75" customHeight="1" x14ac:dyDescent="0.15">
      <c r="A676" s="13"/>
      <c r="B676" s="74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 spans="1:29" ht="15.75" customHeight="1" x14ac:dyDescent="0.15">
      <c r="A677" s="13"/>
      <c r="B677" s="74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 spans="1:29" ht="15.75" customHeight="1" x14ac:dyDescent="0.15">
      <c r="A678" s="13"/>
      <c r="B678" s="74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 spans="1:29" ht="15.75" customHeight="1" x14ac:dyDescent="0.15">
      <c r="A679" s="13"/>
      <c r="B679" s="74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 spans="1:29" ht="15.75" customHeight="1" x14ac:dyDescent="0.15">
      <c r="A680" s="13"/>
      <c r="B680" s="74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 spans="1:29" ht="15.75" customHeight="1" x14ac:dyDescent="0.15">
      <c r="A681" s="13"/>
      <c r="B681" s="74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 spans="1:29" ht="15.75" customHeight="1" x14ac:dyDescent="0.15">
      <c r="A682" s="13"/>
      <c r="B682" s="74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 spans="1:29" ht="15.75" customHeight="1" x14ac:dyDescent="0.15">
      <c r="A683" s="13"/>
      <c r="B683" s="74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 spans="1:29" ht="15.75" customHeight="1" x14ac:dyDescent="0.15">
      <c r="A684" s="13"/>
      <c r="B684" s="74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 spans="1:29" ht="15.75" customHeight="1" x14ac:dyDescent="0.15">
      <c r="A685" s="13"/>
      <c r="B685" s="74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 spans="1:29" ht="15.75" customHeight="1" x14ac:dyDescent="0.15">
      <c r="A686" s="13"/>
      <c r="B686" s="74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 spans="1:29" ht="15.75" customHeight="1" x14ac:dyDescent="0.15">
      <c r="A687" s="13"/>
      <c r="B687" s="74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 spans="1:29" ht="15.75" customHeight="1" x14ac:dyDescent="0.15">
      <c r="A688" s="13"/>
      <c r="B688" s="74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 spans="1:29" ht="15.75" customHeight="1" x14ac:dyDescent="0.15">
      <c r="A689" s="13"/>
      <c r="B689" s="74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 spans="1:29" ht="15.75" customHeight="1" x14ac:dyDescent="0.15">
      <c r="A690" s="13"/>
      <c r="B690" s="74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 spans="1:29" ht="15.75" customHeight="1" x14ac:dyDescent="0.15">
      <c r="A691" s="13"/>
      <c r="B691" s="74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 spans="1:29" ht="15.75" customHeight="1" x14ac:dyDescent="0.15">
      <c r="A692" s="13"/>
      <c r="B692" s="74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 spans="1:29" ht="15.75" customHeight="1" x14ac:dyDescent="0.15">
      <c r="A693" s="13"/>
      <c r="B693" s="74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 spans="1:29" ht="15.75" customHeight="1" x14ac:dyDescent="0.15">
      <c r="A694" s="13"/>
      <c r="B694" s="74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 spans="1:29" ht="15.75" customHeight="1" x14ac:dyDescent="0.15">
      <c r="A695" s="13"/>
      <c r="B695" s="74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 spans="1:29" ht="15.75" customHeight="1" x14ac:dyDescent="0.15">
      <c r="A696" s="13"/>
      <c r="B696" s="74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 spans="1:29" ht="15.75" customHeight="1" x14ac:dyDescent="0.15">
      <c r="A697" s="13"/>
      <c r="B697" s="74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 spans="1:29" ht="15.75" customHeight="1" x14ac:dyDescent="0.15">
      <c r="A698" s="13"/>
      <c r="B698" s="74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 spans="1:29" ht="15.75" customHeight="1" x14ac:dyDescent="0.15">
      <c r="A699" s="13"/>
      <c r="B699" s="74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 spans="1:29" ht="15.75" customHeight="1" x14ac:dyDescent="0.15">
      <c r="A700" s="13"/>
      <c r="B700" s="74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 spans="1:29" ht="15.75" customHeight="1" x14ac:dyDescent="0.15">
      <c r="A701" s="13"/>
      <c r="B701" s="74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 spans="1:29" ht="15.75" customHeight="1" x14ac:dyDescent="0.15">
      <c r="A702" s="13"/>
      <c r="B702" s="74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 spans="1:29" ht="15.75" customHeight="1" x14ac:dyDescent="0.15">
      <c r="A703" s="13"/>
      <c r="B703" s="74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 spans="1:29" ht="15.75" customHeight="1" x14ac:dyDescent="0.15">
      <c r="A704" s="13"/>
      <c r="B704" s="74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 spans="1:29" ht="15.75" customHeight="1" x14ac:dyDescent="0.15">
      <c r="A705" s="13"/>
      <c r="B705" s="74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 spans="1:29" ht="15.75" customHeight="1" x14ac:dyDescent="0.15">
      <c r="A706" s="13"/>
      <c r="B706" s="74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 spans="1:29" ht="15.75" customHeight="1" x14ac:dyDescent="0.15">
      <c r="A707" s="13"/>
      <c r="B707" s="74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 spans="1:29" ht="15.75" customHeight="1" x14ac:dyDescent="0.15">
      <c r="A708" s="13"/>
      <c r="B708" s="74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 spans="1:29" ht="15.75" customHeight="1" x14ac:dyDescent="0.15">
      <c r="A709" s="13"/>
      <c r="B709" s="74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 spans="1:29" ht="15.75" customHeight="1" x14ac:dyDescent="0.15">
      <c r="A710" s="13"/>
      <c r="B710" s="74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 spans="1:29" ht="15.75" customHeight="1" x14ac:dyDescent="0.15">
      <c r="A711" s="13"/>
      <c r="B711" s="74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 spans="1:29" ht="15.75" customHeight="1" x14ac:dyDescent="0.15">
      <c r="A712" s="13"/>
      <c r="B712" s="74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 spans="1:29" ht="15.75" customHeight="1" x14ac:dyDescent="0.15">
      <c r="A713" s="13"/>
      <c r="B713" s="74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 spans="1:29" ht="15.75" customHeight="1" x14ac:dyDescent="0.15">
      <c r="A714" s="13"/>
      <c r="B714" s="74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 spans="1:29" ht="15.75" customHeight="1" x14ac:dyDescent="0.15">
      <c r="A715" s="13"/>
      <c r="B715" s="74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 spans="1:29" ht="15.75" customHeight="1" x14ac:dyDescent="0.15">
      <c r="A716" s="13"/>
      <c r="B716" s="74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 spans="1:29" ht="15.75" customHeight="1" x14ac:dyDescent="0.15">
      <c r="A717" s="13"/>
      <c r="B717" s="74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 spans="1:29" ht="15.75" customHeight="1" x14ac:dyDescent="0.15">
      <c r="A718" s="13"/>
      <c r="B718" s="74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 spans="1:29" ht="15.75" customHeight="1" x14ac:dyDescent="0.15">
      <c r="A719" s="13"/>
      <c r="B719" s="74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 spans="1:29" ht="15.75" customHeight="1" x14ac:dyDescent="0.15">
      <c r="A720" s="13"/>
      <c r="B720" s="74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 spans="1:29" ht="15.75" customHeight="1" x14ac:dyDescent="0.15">
      <c r="A721" s="13"/>
      <c r="B721" s="74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 spans="1:29" ht="15.75" customHeight="1" x14ac:dyDescent="0.15">
      <c r="A722" s="13"/>
      <c r="B722" s="74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 spans="1:29" ht="15.75" customHeight="1" x14ac:dyDescent="0.15">
      <c r="A723" s="13"/>
      <c r="B723" s="74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 spans="1:29" ht="15.75" customHeight="1" x14ac:dyDescent="0.15">
      <c r="A724" s="13"/>
      <c r="B724" s="74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 spans="1:29" ht="15.75" customHeight="1" x14ac:dyDescent="0.15">
      <c r="A725" s="13"/>
      <c r="B725" s="74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 spans="1:29" ht="15.75" customHeight="1" x14ac:dyDescent="0.15">
      <c r="A726" s="13"/>
      <c r="B726" s="74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 spans="1:29" ht="15.75" customHeight="1" x14ac:dyDescent="0.15">
      <c r="A727" s="13"/>
      <c r="B727" s="74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 spans="1:29" ht="15.75" customHeight="1" x14ac:dyDescent="0.15">
      <c r="A728" s="13"/>
      <c r="B728" s="74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 spans="1:29" ht="15.75" customHeight="1" x14ac:dyDescent="0.15">
      <c r="A729" s="13"/>
      <c r="B729" s="74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 spans="1:29" ht="15.75" customHeight="1" x14ac:dyDescent="0.15">
      <c r="A730" s="13"/>
      <c r="B730" s="74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 spans="1:29" ht="15.75" customHeight="1" x14ac:dyDescent="0.15">
      <c r="A731" s="13"/>
      <c r="B731" s="74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 spans="1:29" ht="15.75" customHeight="1" x14ac:dyDescent="0.15">
      <c r="A732" s="13"/>
      <c r="B732" s="74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 spans="1:29" ht="15.75" customHeight="1" x14ac:dyDescent="0.15">
      <c r="A733" s="13"/>
      <c r="B733" s="74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 spans="1:29" ht="15.75" customHeight="1" x14ac:dyDescent="0.15">
      <c r="A734" s="13"/>
      <c r="B734" s="74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 spans="1:29" ht="15.75" customHeight="1" x14ac:dyDescent="0.15">
      <c r="A735" s="13"/>
      <c r="B735" s="74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 spans="1:29" ht="15.75" customHeight="1" x14ac:dyDescent="0.15">
      <c r="A736" s="13"/>
      <c r="B736" s="74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 spans="1:29" ht="15.75" customHeight="1" x14ac:dyDescent="0.15">
      <c r="A737" s="13"/>
      <c r="B737" s="74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 spans="1:29" ht="15.75" customHeight="1" x14ac:dyDescent="0.15">
      <c r="A738" s="13"/>
      <c r="B738" s="74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 spans="1:29" ht="15.75" customHeight="1" x14ac:dyDescent="0.15">
      <c r="A739" s="13"/>
      <c r="B739" s="74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 spans="1:29" ht="15.75" customHeight="1" x14ac:dyDescent="0.15">
      <c r="A740" s="13"/>
      <c r="B740" s="74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 spans="1:29" ht="15.75" customHeight="1" x14ac:dyDescent="0.15">
      <c r="A741" s="13"/>
      <c r="B741" s="74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 spans="1:29" ht="15.75" customHeight="1" x14ac:dyDescent="0.15">
      <c r="A742" s="13"/>
      <c r="B742" s="74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 spans="1:29" ht="15.75" customHeight="1" x14ac:dyDescent="0.15">
      <c r="A743" s="13"/>
      <c r="B743" s="74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 spans="1:29" ht="15.75" customHeight="1" x14ac:dyDescent="0.15">
      <c r="A744" s="13"/>
      <c r="B744" s="74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 spans="1:29" ht="15.75" customHeight="1" x14ac:dyDescent="0.15">
      <c r="A745" s="13"/>
      <c r="B745" s="74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 spans="1:29" ht="15.75" customHeight="1" x14ac:dyDescent="0.15">
      <c r="A746" s="13"/>
      <c r="B746" s="74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 spans="1:29" ht="15.75" customHeight="1" x14ac:dyDescent="0.15">
      <c r="A747" s="13"/>
      <c r="B747" s="74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 spans="1:29" ht="15.75" customHeight="1" x14ac:dyDescent="0.15">
      <c r="A748" s="13"/>
      <c r="B748" s="74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 spans="1:29" ht="15.75" customHeight="1" x14ac:dyDescent="0.15">
      <c r="A749" s="13"/>
      <c r="B749" s="74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 spans="1:29" ht="15.75" customHeight="1" x14ac:dyDescent="0.15">
      <c r="A750" s="13"/>
      <c r="B750" s="74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 spans="1:29" ht="15.75" customHeight="1" x14ac:dyDescent="0.15">
      <c r="A751" s="13"/>
      <c r="B751" s="74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 spans="1:29" ht="15.75" customHeight="1" x14ac:dyDescent="0.15">
      <c r="A752" s="13"/>
      <c r="B752" s="74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 spans="1:29" ht="15.75" customHeight="1" x14ac:dyDescent="0.15">
      <c r="A753" s="13"/>
      <c r="B753" s="74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 spans="1:29" ht="15.75" customHeight="1" x14ac:dyDescent="0.15">
      <c r="A754" s="13"/>
      <c r="B754" s="74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 spans="1:29" ht="15.75" customHeight="1" x14ac:dyDescent="0.15">
      <c r="A755" s="13"/>
      <c r="B755" s="74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 spans="1:29" ht="15.75" customHeight="1" x14ac:dyDescent="0.15">
      <c r="A756" s="13"/>
      <c r="B756" s="74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 spans="1:29" ht="15.75" customHeight="1" x14ac:dyDescent="0.15">
      <c r="A757" s="13"/>
      <c r="B757" s="74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 spans="1:29" ht="15.75" customHeight="1" x14ac:dyDescent="0.15">
      <c r="A758" s="13"/>
      <c r="B758" s="74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 spans="1:29" ht="15.75" customHeight="1" x14ac:dyDescent="0.15">
      <c r="A759" s="13"/>
      <c r="B759" s="74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 spans="1:29" ht="15.75" customHeight="1" x14ac:dyDescent="0.15">
      <c r="A760" s="13"/>
      <c r="B760" s="74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 spans="1:29" ht="15.75" customHeight="1" x14ac:dyDescent="0.15">
      <c r="A761" s="13"/>
      <c r="B761" s="74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 spans="1:29" ht="15.75" customHeight="1" x14ac:dyDescent="0.15">
      <c r="A762" s="13"/>
      <c r="B762" s="74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 spans="1:29" ht="15.75" customHeight="1" x14ac:dyDescent="0.15">
      <c r="A763" s="13"/>
      <c r="B763" s="74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 spans="1:29" ht="15.75" customHeight="1" x14ac:dyDescent="0.15">
      <c r="A764" s="13"/>
      <c r="B764" s="74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 spans="1:29" ht="15.75" customHeight="1" x14ac:dyDescent="0.15">
      <c r="A765" s="13"/>
      <c r="B765" s="74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 spans="1:29" ht="15.75" customHeight="1" x14ac:dyDescent="0.15">
      <c r="A766" s="13"/>
      <c r="B766" s="74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 spans="1:29" ht="15.75" customHeight="1" x14ac:dyDescent="0.15">
      <c r="A767" s="13"/>
      <c r="B767" s="74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 spans="1:29" ht="15.75" customHeight="1" x14ac:dyDescent="0.15">
      <c r="A768" s="13"/>
      <c r="B768" s="74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 spans="1:29" ht="15.75" customHeight="1" x14ac:dyDescent="0.15">
      <c r="A769" s="13"/>
      <c r="B769" s="74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 spans="1:29" ht="15.75" customHeight="1" x14ac:dyDescent="0.15">
      <c r="A770" s="13"/>
      <c r="B770" s="74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 spans="1:29" ht="15.75" customHeight="1" x14ac:dyDescent="0.15">
      <c r="A771" s="13"/>
      <c r="B771" s="74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 spans="1:29" ht="15.75" customHeight="1" x14ac:dyDescent="0.15">
      <c r="A772" s="13"/>
      <c r="B772" s="74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 spans="1:29" ht="15.75" customHeight="1" x14ac:dyDescent="0.15">
      <c r="A773" s="13"/>
      <c r="B773" s="74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 spans="1:29" ht="15.75" customHeight="1" x14ac:dyDescent="0.15">
      <c r="A774" s="13"/>
      <c r="B774" s="74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 spans="1:29" ht="15.75" customHeight="1" x14ac:dyDescent="0.15">
      <c r="A775" s="13"/>
      <c r="B775" s="74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 spans="1:29" ht="15.75" customHeight="1" x14ac:dyDescent="0.15">
      <c r="A776" s="13"/>
      <c r="B776" s="74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 spans="1:29" ht="15.75" customHeight="1" x14ac:dyDescent="0.15">
      <c r="A777" s="13"/>
      <c r="B777" s="74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 spans="1:29" ht="15.75" customHeight="1" x14ac:dyDescent="0.15">
      <c r="A778" s="13"/>
      <c r="B778" s="74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 spans="1:29" ht="15.75" customHeight="1" x14ac:dyDescent="0.15">
      <c r="A779" s="13"/>
      <c r="B779" s="74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 spans="1:29" ht="15.75" customHeight="1" x14ac:dyDescent="0.15">
      <c r="A780" s="13"/>
      <c r="B780" s="74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 spans="1:29" ht="15.75" customHeight="1" x14ac:dyDescent="0.15">
      <c r="A781" s="13"/>
      <c r="B781" s="74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 spans="1:29" ht="15.75" customHeight="1" x14ac:dyDescent="0.15">
      <c r="A782" s="13"/>
      <c r="B782" s="74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 spans="1:29" ht="15.75" customHeight="1" x14ac:dyDescent="0.15">
      <c r="A783" s="13"/>
      <c r="B783" s="74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 spans="1:29" ht="15.75" customHeight="1" x14ac:dyDescent="0.15">
      <c r="A784" s="13"/>
      <c r="B784" s="74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 spans="1:29" ht="15.75" customHeight="1" x14ac:dyDescent="0.15">
      <c r="A785" s="13"/>
      <c r="B785" s="74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 spans="1:29" ht="15.75" customHeight="1" x14ac:dyDescent="0.15">
      <c r="A786" s="13"/>
      <c r="B786" s="74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 spans="1:29" ht="15.75" customHeight="1" x14ac:dyDescent="0.15">
      <c r="A787" s="13"/>
      <c r="B787" s="74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 spans="1:29" ht="15.75" customHeight="1" x14ac:dyDescent="0.15">
      <c r="A788" s="13"/>
      <c r="B788" s="74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 spans="1:29" ht="15.75" customHeight="1" x14ac:dyDescent="0.15">
      <c r="A789" s="13"/>
      <c r="B789" s="74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 spans="1:29" ht="15.75" customHeight="1" x14ac:dyDescent="0.15">
      <c r="A790" s="13"/>
      <c r="B790" s="74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 spans="1:29" ht="15.75" customHeight="1" x14ac:dyDescent="0.15">
      <c r="A791" s="13"/>
      <c r="B791" s="74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 spans="1:29" ht="15.75" customHeight="1" x14ac:dyDescent="0.15">
      <c r="A792" s="13"/>
      <c r="B792" s="74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 spans="1:29" ht="15.75" customHeight="1" x14ac:dyDescent="0.15">
      <c r="A793" s="13"/>
      <c r="B793" s="74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 spans="1:29" ht="15.75" customHeight="1" x14ac:dyDescent="0.15">
      <c r="A794" s="13"/>
      <c r="B794" s="74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 spans="1:29" ht="15.75" customHeight="1" x14ac:dyDescent="0.15">
      <c r="A795" s="13"/>
      <c r="B795" s="74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 spans="1:29" ht="15.75" customHeight="1" x14ac:dyDescent="0.15">
      <c r="A796" s="13"/>
      <c r="B796" s="74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 spans="1:29" ht="15.75" customHeight="1" x14ac:dyDescent="0.15">
      <c r="A797" s="13"/>
      <c r="B797" s="74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 spans="1:29" ht="15.75" customHeight="1" x14ac:dyDescent="0.15">
      <c r="A798" s="13"/>
      <c r="B798" s="74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 spans="1:29" ht="15.75" customHeight="1" x14ac:dyDescent="0.15">
      <c r="A799" s="13"/>
      <c r="B799" s="74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 spans="1:29" ht="15.75" customHeight="1" x14ac:dyDescent="0.15">
      <c r="A800" s="13"/>
      <c r="B800" s="74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 spans="1:29" ht="15.75" customHeight="1" x14ac:dyDescent="0.15">
      <c r="A801" s="13"/>
      <c r="B801" s="74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 spans="1:29" ht="15.75" customHeight="1" x14ac:dyDescent="0.15">
      <c r="A802" s="13"/>
      <c r="B802" s="74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 spans="1:29" ht="15.75" customHeight="1" x14ac:dyDescent="0.15">
      <c r="A803" s="13"/>
      <c r="B803" s="74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 spans="1:29" ht="15.75" customHeight="1" x14ac:dyDescent="0.15">
      <c r="A804" s="13"/>
      <c r="B804" s="74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 spans="1:29" ht="15.75" customHeight="1" x14ac:dyDescent="0.15">
      <c r="A805" s="13"/>
      <c r="B805" s="74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 spans="1:29" ht="15.75" customHeight="1" x14ac:dyDescent="0.15">
      <c r="A806" s="13"/>
      <c r="B806" s="74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 spans="1:29" ht="15.75" customHeight="1" x14ac:dyDescent="0.15">
      <c r="A807" s="13"/>
      <c r="B807" s="74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 spans="1:29" ht="15.75" customHeight="1" x14ac:dyDescent="0.15">
      <c r="A808" s="13"/>
      <c r="B808" s="74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 spans="1:29" ht="15.75" customHeight="1" x14ac:dyDescent="0.15">
      <c r="A809" s="13"/>
      <c r="B809" s="74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 spans="1:29" ht="15.75" customHeight="1" x14ac:dyDescent="0.15">
      <c r="A810" s="13"/>
      <c r="B810" s="74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 spans="1:29" ht="15.75" customHeight="1" x14ac:dyDescent="0.15">
      <c r="A811" s="13"/>
      <c r="B811" s="74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 spans="1:29" ht="15.75" customHeight="1" x14ac:dyDescent="0.15">
      <c r="A812" s="13"/>
      <c r="B812" s="74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 spans="1:29" ht="15.75" customHeight="1" x14ac:dyDescent="0.15">
      <c r="A813" s="13"/>
      <c r="B813" s="74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 spans="1:29" ht="15.75" customHeight="1" x14ac:dyDescent="0.15">
      <c r="A814" s="13"/>
      <c r="B814" s="74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 spans="1:29" ht="15.75" customHeight="1" x14ac:dyDescent="0.15">
      <c r="A815" s="13"/>
      <c r="B815" s="74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 spans="1:29" ht="15.75" customHeight="1" x14ac:dyDescent="0.15">
      <c r="A816" s="13"/>
      <c r="B816" s="74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 spans="1:29" ht="15.75" customHeight="1" x14ac:dyDescent="0.15">
      <c r="A817" s="13"/>
      <c r="B817" s="74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 spans="1:29" ht="15.75" customHeight="1" x14ac:dyDescent="0.15">
      <c r="A818" s="13"/>
      <c r="B818" s="74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 spans="1:29" ht="15.75" customHeight="1" x14ac:dyDescent="0.15">
      <c r="A819" s="13"/>
      <c r="B819" s="74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 spans="1:29" ht="15.75" customHeight="1" x14ac:dyDescent="0.15">
      <c r="A820" s="13"/>
      <c r="B820" s="74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 spans="1:29" ht="15.75" customHeight="1" x14ac:dyDescent="0.15">
      <c r="A821" s="13"/>
      <c r="B821" s="74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 spans="1:29" ht="15.75" customHeight="1" x14ac:dyDescent="0.15">
      <c r="A822" s="13"/>
      <c r="B822" s="74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 spans="1:29" ht="15.75" customHeight="1" x14ac:dyDescent="0.15">
      <c r="A823" s="13"/>
      <c r="B823" s="74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 spans="1:29" ht="15.75" customHeight="1" x14ac:dyDescent="0.15">
      <c r="A824" s="13"/>
      <c r="B824" s="74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 spans="1:29" ht="15.75" customHeight="1" x14ac:dyDescent="0.15">
      <c r="A825" s="13"/>
      <c r="B825" s="74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 spans="1:29" ht="15.75" customHeight="1" x14ac:dyDescent="0.15">
      <c r="A826" s="13"/>
      <c r="B826" s="74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 spans="1:29" ht="15.75" customHeight="1" x14ac:dyDescent="0.15">
      <c r="A827" s="13"/>
      <c r="B827" s="74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 spans="1:29" ht="15.75" customHeight="1" x14ac:dyDescent="0.15">
      <c r="A828" s="13"/>
      <c r="B828" s="74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 spans="1:29" ht="15.75" customHeight="1" x14ac:dyDescent="0.15">
      <c r="A829" s="13"/>
      <c r="B829" s="74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 spans="1:29" ht="15.75" customHeight="1" x14ac:dyDescent="0.15">
      <c r="A830" s="13"/>
      <c r="B830" s="74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 spans="1:29" ht="15.75" customHeight="1" x14ac:dyDescent="0.15">
      <c r="A831" s="13"/>
      <c r="B831" s="74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 spans="1:29" ht="15.75" customHeight="1" x14ac:dyDescent="0.15">
      <c r="A832" s="13"/>
      <c r="B832" s="74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 spans="1:29" ht="15.75" customHeight="1" x14ac:dyDescent="0.15">
      <c r="A833" s="13"/>
      <c r="B833" s="74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 spans="1:29" ht="15.75" customHeight="1" x14ac:dyDescent="0.15">
      <c r="A834" s="13"/>
      <c r="B834" s="74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 spans="1:29" ht="15.75" customHeight="1" x14ac:dyDescent="0.15">
      <c r="A835" s="13"/>
      <c r="B835" s="74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 spans="1:29" ht="15.75" customHeight="1" x14ac:dyDescent="0.15">
      <c r="A836" s="13"/>
      <c r="B836" s="74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 spans="1:29" ht="15.75" customHeight="1" x14ac:dyDescent="0.15">
      <c r="A837" s="13"/>
      <c r="B837" s="74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 spans="1:29" ht="15.75" customHeight="1" x14ac:dyDescent="0.15">
      <c r="A838" s="13"/>
      <c r="B838" s="74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 spans="1:29" ht="15.75" customHeight="1" x14ac:dyDescent="0.15">
      <c r="A839" s="13"/>
      <c r="B839" s="74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 spans="1:29" ht="15.75" customHeight="1" x14ac:dyDescent="0.15">
      <c r="A840" s="13"/>
      <c r="B840" s="74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 spans="1:29" ht="15.75" customHeight="1" x14ac:dyDescent="0.15">
      <c r="A841" s="13"/>
      <c r="B841" s="74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 spans="1:29" ht="15.75" customHeight="1" x14ac:dyDescent="0.15">
      <c r="A842" s="13"/>
      <c r="B842" s="74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 spans="1:29" ht="15.75" customHeight="1" x14ac:dyDescent="0.15">
      <c r="A843" s="13"/>
      <c r="B843" s="74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 spans="1:29" ht="15.75" customHeight="1" x14ac:dyDescent="0.15">
      <c r="A844" s="13"/>
      <c r="B844" s="74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 spans="1:29" ht="15.75" customHeight="1" x14ac:dyDescent="0.15">
      <c r="A845" s="13"/>
      <c r="B845" s="74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 spans="1:29" ht="15.75" customHeight="1" x14ac:dyDescent="0.15">
      <c r="A846" s="13"/>
      <c r="B846" s="74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 spans="1:29" ht="15.75" customHeight="1" x14ac:dyDescent="0.15">
      <c r="A847" s="13"/>
      <c r="B847" s="74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 spans="1:29" ht="15.75" customHeight="1" x14ac:dyDescent="0.15">
      <c r="A848" s="13"/>
      <c r="B848" s="74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 spans="1:29" ht="15.75" customHeight="1" x14ac:dyDescent="0.15">
      <c r="A849" s="13"/>
      <c r="B849" s="74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 spans="1:29" ht="15.75" customHeight="1" x14ac:dyDescent="0.15">
      <c r="A850" s="13"/>
      <c r="B850" s="74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 spans="1:29" ht="15.75" customHeight="1" x14ac:dyDescent="0.15">
      <c r="A851" s="13"/>
      <c r="B851" s="74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 spans="1:29" ht="15.75" customHeight="1" x14ac:dyDescent="0.15">
      <c r="A852" s="13"/>
      <c r="B852" s="74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 spans="1:29" ht="15.75" customHeight="1" x14ac:dyDescent="0.15">
      <c r="A853" s="13"/>
      <c r="B853" s="74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 spans="1:29" ht="15.75" customHeight="1" x14ac:dyDescent="0.15">
      <c r="A854" s="13"/>
      <c r="B854" s="74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 spans="1:29" ht="15.75" customHeight="1" x14ac:dyDescent="0.15">
      <c r="A855" s="13"/>
      <c r="B855" s="74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 spans="1:29" ht="15.75" customHeight="1" x14ac:dyDescent="0.15">
      <c r="A856" s="13"/>
      <c r="B856" s="74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 spans="1:29" ht="15.75" customHeight="1" x14ac:dyDescent="0.15">
      <c r="A857" s="13"/>
      <c r="B857" s="74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 spans="1:29" ht="15.75" customHeight="1" x14ac:dyDescent="0.15">
      <c r="A858" s="13"/>
      <c r="B858" s="74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 spans="1:29" ht="15.75" customHeight="1" x14ac:dyDescent="0.15">
      <c r="A859" s="13"/>
      <c r="B859" s="74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 spans="1:29" ht="15.75" customHeight="1" x14ac:dyDescent="0.15">
      <c r="A860" s="13"/>
      <c r="B860" s="74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 spans="1:29" ht="15.75" customHeight="1" x14ac:dyDescent="0.15">
      <c r="A861" s="13"/>
      <c r="B861" s="74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 spans="1:29" ht="15.75" customHeight="1" x14ac:dyDescent="0.15">
      <c r="A862" s="13"/>
      <c r="B862" s="74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 spans="1:29" ht="15.75" customHeight="1" x14ac:dyDescent="0.15">
      <c r="A863" s="13"/>
      <c r="B863" s="74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 spans="1:29" ht="15.75" customHeight="1" x14ac:dyDescent="0.15">
      <c r="A864" s="13"/>
      <c r="B864" s="74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 spans="1:29" ht="15.75" customHeight="1" x14ac:dyDescent="0.15">
      <c r="A865" s="13"/>
      <c r="B865" s="74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 spans="1:29" ht="15.75" customHeight="1" x14ac:dyDescent="0.15">
      <c r="A866" s="13"/>
      <c r="B866" s="74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 spans="1:29" ht="15.75" customHeight="1" x14ac:dyDescent="0.15">
      <c r="A867" s="13"/>
      <c r="B867" s="74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 spans="1:29" ht="15.75" customHeight="1" x14ac:dyDescent="0.15">
      <c r="A868" s="13"/>
      <c r="B868" s="74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 spans="1:29" ht="15.75" customHeight="1" x14ac:dyDescent="0.15">
      <c r="A869" s="13"/>
      <c r="B869" s="74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 spans="1:29" ht="15.75" customHeight="1" x14ac:dyDescent="0.15">
      <c r="A870" s="13"/>
      <c r="B870" s="74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 spans="1:29" ht="15.75" customHeight="1" x14ac:dyDescent="0.15">
      <c r="A871" s="13"/>
      <c r="B871" s="74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 spans="1:29" ht="15.75" customHeight="1" x14ac:dyDescent="0.15">
      <c r="A872" s="13"/>
      <c r="B872" s="74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 spans="1:29" ht="15.75" customHeight="1" x14ac:dyDescent="0.15">
      <c r="A873" s="13"/>
      <c r="B873" s="74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 spans="1:29" ht="15.75" customHeight="1" x14ac:dyDescent="0.15">
      <c r="A874" s="13"/>
      <c r="B874" s="74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 spans="1:29" ht="15.75" customHeight="1" x14ac:dyDescent="0.15">
      <c r="A875" s="13"/>
      <c r="B875" s="74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 spans="1:29" ht="15.75" customHeight="1" x14ac:dyDescent="0.15">
      <c r="A876" s="13"/>
      <c r="B876" s="74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 spans="1:29" ht="15.75" customHeight="1" x14ac:dyDescent="0.15">
      <c r="A877" s="13"/>
      <c r="B877" s="74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 spans="1:29" ht="15.75" customHeight="1" x14ac:dyDescent="0.15">
      <c r="A878" s="13"/>
      <c r="B878" s="74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 spans="1:29" ht="15.75" customHeight="1" x14ac:dyDescent="0.15">
      <c r="A879" s="13"/>
      <c r="B879" s="74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 spans="1:29" ht="15.75" customHeight="1" x14ac:dyDescent="0.15">
      <c r="A880" s="13"/>
      <c r="B880" s="74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 spans="1:29" ht="15.75" customHeight="1" x14ac:dyDescent="0.15">
      <c r="A881" s="13"/>
      <c r="B881" s="74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 spans="1:29" ht="15.75" customHeight="1" x14ac:dyDescent="0.15">
      <c r="A882" s="13"/>
      <c r="B882" s="74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 spans="1:29" ht="15.75" customHeight="1" x14ac:dyDescent="0.15">
      <c r="A883" s="13"/>
      <c r="B883" s="74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 spans="1:29" ht="15.75" customHeight="1" x14ac:dyDescent="0.15">
      <c r="A884" s="13"/>
      <c r="B884" s="74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 spans="1:29" ht="15.75" customHeight="1" x14ac:dyDescent="0.15">
      <c r="A885" s="13"/>
      <c r="B885" s="74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 spans="1:29" ht="15.75" customHeight="1" x14ac:dyDescent="0.15">
      <c r="A886" s="13"/>
      <c r="B886" s="74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 spans="1:29" ht="15.75" customHeight="1" x14ac:dyDescent="0.15">
      <c r="A887" s="13"/>
      <c r="B887" s="74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 spans="1:29" ht="15.75" customHeight="1" x14ac:dyDescent="0.15">
      <c r="A888" s="13"/>
      <c r="B888" s="74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 spans="1:29" ht="15.75" customHeight="1" x14ac:dyDescent="0.15">
      <c r="A889" s="13"/>
      <c r="B889" s="74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 spans="1:29" ht="15.75" customHeight="1" x14ac:dyDescent="0.15">
      <c r="A890" s="13"/>
      <c r="B890" s="74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 spans="1:29" ht="15.75" customHeight="1" x14ac:dyDescent="0.15">
      <c r="A891" s="13"/>
      <c r="B891" s="74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 spans="1:29" ht="15.75" customHeight="1" x14ac:dyDescent="0.15">
      <c r="A892" s="13"/>
      <c r="B892" s="74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 spans="1:29" ht="15.75" customHeight="1" x14ac:dyDescent="0.15">
      <c r="A893" s="13"/>
      <c r="B893" s="74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 spans="1:29" ht="15.75" customHeight="1" x14ac:dyDescent="0.15">
      <c r="A894" s="13"/>
      <c r="B894" s="74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 spans="1:29" ht="15.75" customHeight="1" x14ac:dyDescent="0.15">
      <c r="A895" s="13"/>
      <c r="B895" s="74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 spans="1:29" ht="15.75" customHeight="1" x14ac:dyDescent="0.15">
      <c r="A896" s="13"/>
      <c r="B896" s="74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 spans="1:29" ht="15.75" customHeight="1" x14ac:dyDescent="0.15">
      <c r="A897" s="13"/>
      <c r="B897" s="74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 spans="1:29" ht="15.75" customHeight="1" x14ac:dyDescent="0.15">
      <c r="A898" s="13"/>
      <c r="B898" s="74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 spans="1:29" ht="15.75" customHeight="1" x14ac:dyDescent="0.15">
      <c r="A899" s="13"/>
      <c r="B899" s="74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 spans="1:29" ht="15.75" customHeight="1" x14ac:dyDescent="0.15">
      <c r="A900" s="13"/>
      <c r="B900" s="74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 spans="1:29" ht="15.75" customHeight="1" x14ac:dyDescent="0.15">
      <c r="A901" s="13"/>
      <c r="B901" s="74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 spans="1:29" ht="15.75" customHeight="1" x14ac:dyDescent="0.15">
      <c r="A902" s="13"/>
      <c r="B902" s="74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 spans="1:29" ht="15.75" customHeight="1" x14ac:dyDescent="0.15">
      <c r="A903" s="13"/>
      <c r="B903" s="74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 spans="1:29" ht="15.75" customHeight="1" x14ac:dyDescent="0.15">
      <c r="A904" s="13"/>
      <c r="B904" s="74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 spans="1:29" ht="15.75" customHeight="1" x14ac:dyDescent="0.15">
      <c r="A905" s="13"/>
      <c r="B905" s="74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 spans="1:29" ht="15.75" customHeight="1" x14ac:dyDescent="0.15">
      <c r="A906" s="13"/>
      <c r="B906" s="74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 spans="1:29" ht="15.75" customHeight="1" x14ac:dyDescent="0.15">
      <c r="A907" s="13"/>
      <c r="B907" s="74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 spans="1:29" ht="15.75" customHeight="1" x14ac:dyDescent="0.15">
      <c r="A908" s="13"/>
      <c r="B908" s="74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 spans="1:29" ht="15.75" customHeight="1" x14ac:dyDescent="0.15">
      <c r="A909" s="13"/>
      <c r="B909" s="74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 spans="1:29" ht="15.75" customHeight="1" x14ac:dyDescent="0.15">
      <c r="A910" s="13"/>
      <c r="B910" s="74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 spans="1:29" ht="15.75" customHeight="1" x14ac:dyDescent="0.15">
      <c r="A911" s="13"/>
      <c r="B911" s="74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 spans="1:29" ht="15.75" customHeight="1" x14ac:dyDescent="0.15">
      <c r="A912" s="13"/>
      <c r="B912" s="74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 spans="1:29" ht="15.75" customHeight="1" x14ac:dyDescent="0.15">
      <c r="A913" s="13"/>
      <c r="B913" s="74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 spans="1:29" ht="15.75" customHeight="1" x14ac:dyDescent="0.15">
      <c r="A914" s="13"/>
      <c r="B914" s="74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 spans="1:29" ht="15.75" customHeight="1" x14ac:dyDescent="0.15">
      <c r="A915" s="13"/>
      <c r="B915" s="74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 spans="1:29" ht="15.75" customHeight="1" x14ac:dyDescent="0.15">
      <c r="A916" s="13"/>
      <c r="B916" s="74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 spans="1:29" ht="15.75" customHeight="1" x14ac:dyDescent="0.15">
      <c r="A917" s="13"/>
      <c r="B917" s="74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 spans="1:29" ht="15.75" customHeight="1" x14ac:dyDescent="0.15">
      <c r="A918" s="13"/>
      <c r="B918" s="74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 spans="1:29" ht="15.75" customHeight="1" x14ac:dyDescent="0.15">
      <c r="A919" s="13"/>
      <c r="B919" s="74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 spans="1:29" ht="15.75" customHeight="1" x14ac:dyDescent="0.15">
      <c r="A920" s="13"/>
      <c r="B920" s="74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 spans="1:29" ht="15.75" customHeight="1" x14ac:dyDescent="0.15">
      <c r="A921" s="13"/>
      <c r="B921" s="74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 spans="1:29" ht="15.75" customHeight="1" x14ac:dyDescent="0.15">
      <c r="A922" s="13"/>
      <c r="B922" s="74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 spans="1:29" ht="15.75" customHeight="1" x14ac:dyDescent="0.15">
      <c r="A923" s="13"/>
      <c r="B923" s="74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 spans="1:29" ht="15.75" customHeight="1" x14ac:dyDescent="0.15">
      <c r="A924" s="13"/>
      <c r="B924" s="74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 spans="1:29" ht="15.75" customHeight="1" x14ac:dyDescent="0.15">
      <c r="A925" s="13"/>
      <c r="B925" s="74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 spans="1:29" ht="15.75" customHeight="1" x14ac:dyDescent="0.15">
      <c r="A926" s="13"/>
      <c r="B926" s="74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 spans="1:29" ht="15.75" customHeight="1" x14ac:dyDescent="0.15">
      <c r="A927" s="13"/>
      <c r="B927" s="74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 spans="1:29" ht="15.75" customHeight="1" x14ac:dyDescent="0.15">
      <c r="A928" s="13"/>
      <c r="B928" s="74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 spans="1:29" ht="15.75" customHeight="1" x14ac:dyDescent="0.15">
      <c r="A929" s="13"/>
      <c r="B929" s="74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 spans="1:29" ht="15.75" customHeight="1" x14ac:dyDescent="0.15">
      <c r="A930" s="13"/>
      <c r="B930" s="74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 spans="1:29" ht="15.75" customHeight="1" x14ac:dyDescent="0.15">
      <c r="A931" s="13"/>
      <c r="B931" s="74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 spans="1:29" ht="15.75" customHeight="1" x14ac:dyDescent="0.15">
      <c r="A932" s="13"/>
      <c r="B932" s="74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 spans="1:29" ht="15.75" customHeight="1" x14ac:dyDescent="0.15">
      <c r="A933" s="13"/>
      <c r="B933" s="74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 spans="1:29" ht="15.75" customHeight="1" x14ac:dyDescent="0.15">
      <c r="A934" s="13"/>
      <c r="B934" s="74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 spans="1:29" ht="15.75" customHeight="1" x14ac:dyDescent="0.15">
      <c r="A935" s="13"/>
      <c r="B935" s="74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 spans="1:29" ht="15.75" customHeight="1" x14ac:dyDescent="0.15">
      <c r="A936" s="13"/>
      <c r="B936" s="74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 spans="1:29" ht="15.75" customHeight="1" x14ac:dyDescent="0.15">
      <c r="A937" s="13"/>
      <c r="B937" s="74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 spans="1:29" ht="15.75" customHeight="1" x14ac:dyDescent="0.15">
      <c r="A938" s="13"/>
      <c r="B938" s="74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 spans="1:29" ht="15.75" customHeight="1" x14ac:dyDescent="0.15">
      <c r="A939" s="13"/>
      <c r="B939" s="74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 spans="1:29" ht="15.75" customHeight="1" x14ac:dyDescent="0.15">
      <c r="A940" s="13"/>
      <c r="B940" s="74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 spans="1:29" ht="15.75" customHeight="1" x14ac:dyDescent="0.15">
      <c r="A941" s="13"/>
      <c r="B941" s="74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 spans="1:29" ht="15.75" customHeight="1" x14ac:dyDescent="0.15">
      <c r="A942" s="13"/>
      <c r="B942" s="74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 spans="1:29" ht="15.75" customHeight="1" x14ac:dyDescent="0.15">
      <c r="A943" s="13"/>
      <c r="B943" s="74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 spans="1:29" ht="15.75" customHeight="1" x14ac:dyDescent="0.15">
      <c r="A944" s="13"/>
      <c r="B944" s="74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 spans="1:29" ht="15.75" customHeight="1" x14ac:dyDescent="0.15">
      <c r="A945" s="13"/>
      <c r="B945" s="74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 spans="1:29" ht="15.75" customHeight="1" x14ac:dyDescent="0.15">
      <c r="A946" s="13"/>
      <c r="B946" s="74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 spans="1:29" ht="15.75" customHeight="1" x14ac:dyDescent="0.15">
      <c r="A947" s="13"/>
      <c r="B947" s="74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 spans="1:29" ht="15.75" customHeight="1" x14ac:dyDescent="0.15">
      <c r="A948" s="13"/>
      <c r="B948" s="74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 spans="1:29" ht="15.75" customHeight="1" x14ac:dyDescent="0.15">
      <c r="A949" s="13"/>
      <c r="B949" s="74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 spans="1:29" ht="15.75" customHeight="1" x14ac:dyDescent="0.15">
      <c r="A950" s="13"/>
      <c r="B950" s="74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 spans="1:29" ht="15.75" customHeight="1" x14ac:dyDescent="0.15">
      <c r="A951" s="13"/>
      <c r="B951" s="74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 spans="1:29" ht="15.75" customHeight="1" x14ac:dyDescent="0.15">
      <c r="A952" s="13"/>
      <c r="B952" s="74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 spans="1:29" ht="15.75" customHeight="1" x14ac:dyDescent="0.15">
      <c r="A953" s="13"/>
      <c r="B953" s="74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 spans="1:29" ht="15.75" customHeight="1" x14ac:dyDescent="0.15">
      <c r="A954" s="13"/>
      <c r="B954" s="74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 spans="1:29" ht="15.75" customHeight="1" x14ac:dyDescent="0.15">
      <c r="A955" s="13"/>
      <c r="B955" s="74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 spans="1:29" ht="15.75" customHeight="1" x14ac:dyDescent="0.15">
      <c r="A956" s="13"/>
      <c r="B956" s="74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 spans="1:29" ht="15.75" customHeight="1" x14ac:dyDescent="0.15">
      <c r="A957" s="13"/>
      <c r="B957" s="74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 spans="1:29" ht="15.75" customHeight="1" x14ac:dyDescent="0.15">
      <c r="A958" s="13"/>
      <c r="B958" s="74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 spans="1:29" ht="15.75" customHeight="1" x14ac:dyDescent="0.15">
      <c r="A959" s="13"/>
      <c r="B959" s="74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 spans="1:29" ht="15.75" customHeight="1" x14ac:dyDescent="0.15">
      <c r="A960" s="13"/>
      <c r="B960" s="74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 spans="1:29" ht="15.75" customHeight="1" x14ac:dyDescent="0.15">
      <c r="A961" s="13"/>
      <c r="B961" s="74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 spans="1:29" ht="15.75" customHeight="1" x14ac:dyDescent="0.15">
      <c r="A962" s="13"/>
      <c r="B962" s="74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 spans="1:29" ht="15.75" customHeight="1" x14ac:dyDescent="0.15">
      <c r="A963" s="13"/>
      <c r="B963" s="74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 spans="1:29" ht="15.75" customHeight="1" x14ac:dyDescent="0.15">
      <c r="A964" s="13"/>
      <c r="B964" s="74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 spans="1:29" ht="15.75" customHeight="1" x14ac:dyDescent="0.15">
      <c r="A965" s="13"/>
      <c r="B965" s="74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 spans="1:29" ht="15.75" customHeight="1" x14ac:dyDescent="0.15">
      <c r="A966" s="13"/>
      <c r="B966" s="74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 spans="1:29" ht="15.75" customHeight="1" x14ac:dyDescent="0.15">
      <c r="A967" s="13"/>
      <c r="B967" s="74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 spans="1:29" ht="15.75" customHeight="1" x14ac:dyDescent="0.15">
      <c r="A968" s="13"/>
      <c r="B968" s="74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 spans="1:29" ht="15.75" customHeight="1" x14ac:dyDescent="0.15">
      <c r="A969" s="13"/>
      <c r="B969" s="74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 spans="1:29" ht="15.75" customHeight="1" x14ac:dyDescent="0.15">
      <c r="A970" s="13"/>
      <c r="B970" s="74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 spans="1:29" ht="15.75" customHeight="1" x14ac:dyDescent="0.15">
      <c r="A971" s="13"/>
      <c r="B971" s="74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 spans="1:29" ht="15.75" customHeight="1" x14ac:dyDescent="0.15">
      <c r="A972" s="13"/>
      <c r="B972" s="74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 spans="1:29" ht="15.75" customHeight="1" x14ac:dyDescent="0.15">
      <c r="A973" s="13"/>
      <c r="B973" s="74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 spans="1:29" ht="15.75" customHeight="1" x14ac:dyDescent="0.15">
      <c r="A974" s="13"/>
      <c r="B974" s="74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 spans="1:29" ht="15.75" customHeight="1" x14ac:dyDescent="0.15">
      <c r="A975" s="13"/>
      <c r="B975" s="74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 spans="1:29" ht="15.75" customHeight="1" x14ac:dyDescent="0.15">
      <c r="A976" s="13"/>
      <c r="B976" s="74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 spans="1:29" ht="15.75" customHeight="1" x14ac:dyDescent="0.15">
      <c r="A977" s="13"/>
      <c r="B977" s="74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 spans="1:29" ht="15.75" customHeight="1" x14ac:dyDescent="0.15">
      <c r="A978" s="13"/>
      <c r="B978" s="74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 spans="1:29" ht="15.75" customHeight="1" x14ac:dyDescent="0.15">
      <c r="A979" s="13"/>
      <c r="B979" s="74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 spans="1:29" ht="15.75" customHeight="1" x14ac:dyDescent="0.15">
      <c r="A980" s="13"/>
      <c r="B980" s="74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 spans="1:29" ht="15.75" customHeight="1" x14ac:dyDescent="0.15">
      <c r="A981" s="13"/>
      <c r="B981" s="74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 spans="1:29" ht="15.75" customHeight="1" x14ac:dyDescent="0.15">
      <c r="A982" s="13"/>
      <c r="B982" s="74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 spans="1:29" ht="15.75" customHeight="1" x14ac:dyDescent="0.15">
      <c r="A983" s="13"/>
      <c r="B983" s="74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 spans="1:29" ht="15.75" customHeight="1" x14ac:dyDescent="0.15">
      <c r="A984" s="13"/>
      <c r="B984" s="74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 spans="1:29" ht="15.75" customHeight="1" x14ac:dyDescent="0.15">
      <c r="A985" s="13"/>
      <c r="B985" s="74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 spans="1:29" ht="15.75" customHeight="1" x14ac:dyDescent="0.15">
      <c r="A986" s="13"/>
      <c r="B986" s="74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 spans="1:29" ht="15.75" customHeight="1" x14ac:dyDescent="0.15">
      <c r="A987" s="13"/>
      <c r="B987" s="74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 spans="1:29" ht="15.75" customHeight="1" x14ac:dyDescent="0.15">
      <c r="A988" s="13"/>
      <c r="B988" s="74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 spans="1:29" ht="15.75" customHeight="1" x14ac:dyDescent="0.15">
      <c r="A989" s="13"/>
      <c r="B989" s="74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 spans="1:29" ht="15.75" customHeight="1" x14ac:dyDescent="0.15">
      <c r="A990" s="13"/>
      <c r="B990" s="74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 spans="1:29" ht="15.75" customHeight="1" x14ac:dyDescent="0.15">
      <c r="A991" s="13"/>
      <c r="B991" s="74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 spans="1:29" ht="15.75" customHeight="1" x14ac:dyDescent="0.15">
      <c r="A992" s="13"/>
      <c r="B992" s="74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 spans="1:29" ht="15.75" customHeight="1" x14ac:dyDescent="0.15">
      <c r="A993" s="13"/>
      <c r="B993" s="74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 spans="1:29" ht="15.75" customHeight="1" x14ac:dyDescent="0.15">
      <c r="A994" s="13"/>
      <c r="B994" s="74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  <row r="995" spans="1:29" ht="15.75" customHeight="1" x14ac:dyDescent="0.15">
      <c r="A995" s="13"/>
      <c r="B995" s="74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</row>
    <row r="996" spans="1:29" ht="15.75" customHeight="1" x14ac:dyDescent="0.15">
      <c r="A996" s="13"/>
      <c r="B996" s="74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</row>
    <row r="997" spans="1:29" ht="15.75" customHeight="1" x14ac:dyDescent="0.15">
      <c r="A997" s="13"/>
      <c r="B997" s="74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</row>
    <row r="998" spans="1:29" ht="15.75" customHeight="1" x14ac:dyDescent="0.15">
      <c r="A998" s="13"/>
      <c r="B998" s="74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</row>
    <row r="999" spans="1:29" ht="15.75" customHeight="1" x14ac:dyDescent="0.15">
      <c r="A999" s="13"/>
      <c r="B999" s="74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</row>
    <row r="1000" spans="1:29" ht="15.75" customHeight="1" x14ac:dyDescent="0.15">
      <c r="A1000" s="13"/>
      <c r="B1000" s="74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</row>
    <row r="1001" spans="1:29" ht="15.75" customHeight="1" x14ac:dyDescent="0.15">
      <c r="A1001" s="13"/>
      <c r="B1001" s="74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</row>
    <row r="1002" spans="1:29" ht="15.75" customHeight="1" x14ac:dyDescent="0.15">
      <c r="A1002" s="13"/>
      <c r="B1002" s="74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</row>
  </sheetData>
  <mergeCells count="20">
    <mergeCell ref="J16:J17"/>
    <mergeCell ref="K16:K17"/>
    <mergeCell ref="A3:A6"/>
    <mergeCell ref="B3:B5"/>
    <mergeCell ref="F16:F17"/>
    <mergeCell ref="B16:B17"/>
    <mergeCell ref="C16:C17"/>
    <mergeCell ref="A1:Q1"/>
    <mergeCell ref="H16:H17"/>
    <mergeCell ref="G16:G17"/>
    <mergeCell ref="A14:K14"/>
    <mergeCell ref="A2:AC2"/>
    <mergeCell ref="X14:Y14"/>
    <mergeCell ref="P14:W14"/>
    <mergeCell ref="L14:O14"/>
    <mergeCell ref="O16:O17"/>
    <mergeCell ref="I16:I17"/>
    <mergeCell ref="N16:N17"/>
    <mergeCell ref="M16:M17"/>
    <mergeCell ref="L16:L17"/>
  </mergeCells>
  <phoneticPr fontId="70" type="noConversion"/>
  <conditionalFormatting sqref="B2:B7 C2 C4:C12 B9:B12 F13">
    <cfRule type="cellIs" dxfId="43" priority="1" operator="equal">
      <formula>"低"</formula>
    </cfRule>
  </conditionalFormatting>
  <conditionalFormatting sqref="B2:B7 C2 C4:C12 B9:B12 F13">
    <cfRule type="cellIs" dxfId="42" priority="2" operator="equal">
      <formula>"中"</formula>
    </cfRule>
  </conditionalFormatting>
  <conditionalFormatting sqref="B2:B7 C2 C4:C12 B9:B12 F13">
    <cfRule type="cellIs" dxfId="41" priority="3" operator="equal">
      <formula>"高"</formula>
    </cfRule>
  </conditionalFormatting>
  <conditionalFormatting sqref="B16 B18:B124">
    <cfRule type="cellIs" dxfId="40" priority="4" operator="equal">
      <formula>"低"</formula>
    </cfRule>
  </conditionalFormatting>
  <conditionalFormatting sqref="B16 B18:B124">
    <cfRule type="cellIs" dxfId="39" priority="5" operator="equal">
      <formula>"中"</formula>
    </cfRule>
  </conditionalFormatting>
  <conditionalFormatting sqref="B16 B18:B124">
    <cfRule type="cellIs" dxfId="38" priority="6" operator="equal">
      <formula>"高"</formula>
    </cfRule>
  </conditionalFormatting>
  <conditionalFormatting sqref="L16">
    <cfRule type="cellIs" dxfId="37" priority="7" operator="equal">
      <formula>"验证通过"</formula>
    </cfRule>
  </conditionalFormatting>
  <conditionalFormatting sqref="L16">
    <cfRule type="cellIs" dxfId="36" priority="8" operator="equal">
      <formula>"验证未通过"</formula>
    </cfRule>
  </conditionalFormatting>
  <conditionalFormatting sqref="L16">
    <cfRule type="cellIs" dxfId="35" priority="9" operator="equal">
      <formula>"未验证"</formula>
    </cfRule>
  </conditionalFormatting>
  <conditionalFormatting sqref="L19:O23">
    <cfRule type="cellIs" dxfId="34" priority="10" operator="equal">
      <formula>"验证通过"</formula>
    </cfRule>
  </conditionalFormatting>
  <conditionalFormatting sqref="L19:O23">
    <cfRule type="cellIs" dxfId="33" priority="11" operator="equal">
      <formula>"验证未通过"</formula>
    </cfRule>
  </conditionalFormatting>
  <conditionalFormatting sqref="L19:O23">
    <cfRule type="cellIs" dxfId="32" priority="12" operator="equal">
      <formula>"未验证"</formula>
    </cfRule>
  </conditionalFormatting>
  <conditionalFormatting sqref="L24:O27">
    <cfRule type="cellIs" dxfId="31" priority="13" operator="equal">
      <formula>"验证通过"</formula>
    </cfRule>
  </conditionalFormatting>
  <conditionalFormatting sqref="L24:O27">
    <cfRule type="cellIs" dxfId="30" priority="14" operator="equal">
      <formula>"验证未通过"</formula>
    </cfRule>
  </conditionalFormatting>
  <conditionalFormatting sqref="L24:O27">
    <cfRule type="cellIs" dxfId="29" priority="15" operator="equal">
      <formula>"未验证"</formula>
    </cfRule>
  </conditionalFormatting>
  <conditionalFormatting sqref="L28:O31">
    <cfRule type="cellIs" dxfId="28" priority="16" operator="equal">
      <formula>"验证通过"</formula>
    </cfRule>
  </conditionalFormatting>
  <conditionalFormatting sqref="L28:O31">
    <cfRule type="cellIs" dxfId="27" priority="17" operator="equal">
      <formula>"验证未通过"</formula>
    </cfRule>
  </conditionalFormatting>
  <conditionalFormatting sqref="L28:O31">
    <cfRule type="cellIs" dxfId="26" priority="18" operator="equal">
      <formula>"未验证"</formula>
    </cfRule>
  </conditionalFormatting>
  <conditionalFormatting sqref="L32:O35">
    <cfRule type="cellIs" dxfId="25" priority="19" operator="equal">
      <formula>"验证通过"</formula>
    </cfRule>
  </conditionalFormatting>
  <conditionalFormatting sqref="L32:O35">
    <cfRule type="cellIs" dxfId="24" priority="20" operator="equal">
      <formula>"验证未通过"</formula>
    </cfRule>
  </conditionalFormatting>
  <conditionalFormatting sqref="L32:O35">
    <cfRule type="cellIs" dxfId="23" priority="21" operator="equal">
      <formula>"未验证"</formula>
    </cfRule>
  </conditionalFormatting>
  <conditionalFormatting sqref="L36:O37">
    <cfRule type="cellIs" dxfId="22" priority="22" operator="equal">
      <formula>"验证通过"</formula>
    </cfRule>
  </conditionalFormatting>
  <conditionalFormatting sqref="L36:O37">
    <cfRule type="cellIs" dxfId="21" priority="23" operator="equal">
      <formula>"验证未通过"</formula>
    </cfRule>
  </conditionalFormatting>
  <conditionalFormatting sqref="L36:O37">
    <cfRule type="cellIs" dxfId="20" priority="24" operator="equal">
      <formula>"未验证"</formula>
    </cfRule>
  </conditionalFormatting>
  <dataValidations count="2">
    <dataValidation type="list" allowBlank="1" sqref="L16 L18:L37">
      <formula1>"未验证,验证通过,验证未通过"</formula1>
    </dataValidation>
    <dataValidation type="list" allowBlank="1" showErrorMessage="1" sqref="B16 B18:B124">
      <formula1>"高,中,低"</formula1>
    </dataValidation>
  </dataValidations>
  <hyperlinks>
    <hyperlink ref="P17" r:id="rId1" location="17-she-zhi-ye-mian-ji-bian-liang-pageset"/>
    <hyperlink ref="R17" r:id="rId2" location="setpagevariable"/>
    <hyperlink ref="T17" r:id="rId3" location="setpagevariable"/>
    <hyperlink ref="V17" r:id="rId4" location="ye-mian-ji-bian-liang"/>
  </hyperlinks>
  <pageMargins left="0.5" right="0.5" top="0.75" bottom="0.75" header="0" footer="0"/>
  <pageSetup orientation="portrait"/>
  <headerFooter>
    <oddFooter>&amp;C000000&amp;P</oddFooter>
  </headerFooter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002"/>
  <sheetViews>
    <sheetView showGridLines="0" workbookViewId="0">
      <selection activeCell="C11" sqref="C11"/>
    </sheetView>
  </sheetViews>
  <sheetFormatPr baseColWidth="10" defaultColWidth="14.5" defaultRowHeight="15" customHeight="1" x14ac:dyDescent="0.15"/>
  <cols>
    <col min="1" max="2" width="16.33203125" customWidth="1"/>
    <col min="3" max="3" width="16" customWidth="1"/>
    <col min="4" max="5" width="9.33203125" hidden="1" customWidth="1"/>
    <col min="6" max="6" width="20" customWidth="1"/>
    <col min="7" max="7" width="21" customWidth="1"/>
    <col min="8" max="8" width="11.33203125" customWidth="1"/>
    <col min="9" max="9" width="17.83203125" customWidth="1"/>
    <col min="10" max="14" width="16.33203125" customWidth="1"/>
    <col min="15" max="15" width="22" customWidth="1"/>
    <col min="16" max="16" width="24.83203125" customWidth="1"/>
    <col min="17" max="17" width="25.83203125" customWidth="1"/>
    <col min="18" max="18" width="27" customWidth="1"/>
    <col min="19" max="19" width="31.83203125" customWidth="1"/>
    <col min="20" max="20" width="46.1640625" customWidth="1"/>
    <col min="21" max="21" width="19" customWidth="1"/>
    <col min="22" max="22" width="28.5" customWidth="1"/>
    <col min="23" max="23" width="20.83203125" hidden="1" customWidth="1"/>
    <col min="24" max="24" width="16.33203125" hidden="1" customWidth="1"/>
    <col min="25" max="30" width="16.33203125" customWidth="1"/>
  </cols>
  <sheetData>
    <row r="1" spans="1:30" s="212" customFormat="1" ht="34" customHeight="1" x14ac:dyDescent="0.15">
      <c r="A1" s="228"/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</row>
    <row r="2" spans="1:30" ht="30.75" customHeight="1" x14ac:dyDescent="0.15">
      <c r="A2" s="234" t="s">
        <v>313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  <c r="AD2" s="236"/>
    </row>
    <row r="3" spans="1:30" ht="16" x14ac:dyDescent="0.15">
      <c r="A3" s="275" t="s">
        <v>314</v>
      </c>
      <c r="B3" s="318" t="s">
        <v>315</v>
      </c>
      <c r="C3" s="133" t="s">
        <v>6</v>
      </c>
      <c r="D3" s="8"/>
      <c r="E3" s="55"/>
      <c r="F3" s="8"/>
      <c r="G3" s="8"/>
      <c r="H3" s="190"/>
      <c r="I3" s="106"/>
      <c r="J3" s="106"/>
      <c r="K3" s="106"/>
      <c r="L3" s="106"/>
      <c r="M3" s="106"/>
      <c r="N3" s="106"/>
      <c r="O3" s="13"/>
      <c r="P3" s="172"/>
      <c r="Q3" s="27"/>
      <c r="R3" s="27"/>
      <c r="S3" s="27"/>
      <c r="T3" s="27"/>
      <c r="U3" s="27"/>
      <c r="V3" s="27"/>
      <c r="W3" s="13"/>
      <c r="X3" s="13"/>
      <c r="Y3" s="13"/>
      <c r="Z3" s="13"/>
      <c r="AA3" s="13"/>
      <c r="AB3" s="13"/>
      <c r="AC3" s="13"/>
      <c r="AD3" s="13"/>
    </row>
    <row r="4" spans="1:30" ht="16" x14ac:dyDescent="0.15">
      <c r="A4" s="276"/>
      <c r="B4" s="276"/>
      <c r="C4" s="173" t="s">
        <v>316</v>
      </c>
      <c r="D4" s="8"/>
      <c r="E4" s="8"/>
      <c r="F4" s="23"/>
      <c r="G4" s="30"/>
      <c r="H4" s="190"/>
      <c r="I4" s="106"/>
      <c r="J4" s="106"/>
      <c r="K4" s="106"/>
      <c r="L4" s="106"/>
      <c r="M4" s="106"/>
      <c r="N4" s="106"/>
      <c r="O4" s="13"/>
      <c r="P4" s="172"/>
      <c r="Q4" s="27"/>
      <c r="R4" s="27"/>
      <c r="S4" s="27"/>
      <c r="T4" s="27"/>
      <c r="U4" s="27"/>
      <c r="V4" s="27"/>
      <c r="W4" s="13"/>
      <c r="X4" s="13"/>
      <c r="Y4" s="13"/>
      <c r="Z4" s="13"/>
      <c r="AA4" s="13"/>
      <c r="AB4" s="13"/>
      <c r="AC4" s="13"/>
      <c r="AD4" s="13"/>
    </row>
    <row r="5" spans="1:30" ht="16" x14ac:dyDescent="0.15">
      <c r="A5" s="276"/>
      <c r="B5" s="277"/>
      <c r="C5" s="136" t="s">
        <v>317</v>
      </c>
      <c r="D5" s="8"/>
      <c r="E5" s="8"/>
      <c r="F5" s="23"/>
      <c r="G5" s="30"/>
      <c r="H5" s="190"/>
      <c r="I5" s="106"/>
      <c r="J5" s="106"/>
      <c r="K5" s="106"/>
      <c r="L5" s="106"/>
      <c r="M5" s="106"/>
      <c r="N5" s="106"/>
      <c r="O5" s="13"/>
      <c r="P5" s="172"/>
      <c r="Q5" s="27"/>
      <c r="R5" s="27"/>
      <c r="S5" s="27"/>
      <c r="T5" s="27"/>
      <c r="U5" s="27"/>
      <c r="V5" s="27"/>
      <c r="W5" s="13"/>
      <c r="X5" s="13"/>
      <c r="Y5" s="13"/>
      <c r="Z5" s="13"/>
      <c r="AA5" s="13"/>
      <c r="AB5" s="13"/>
      <c r="AC5" s="13"/>
      <c r="AD5" s="13"/>
    </row>
    <row r="6" spans="1:30" ht="21" x14ac:dyDescent="0.15">
      <c r="A6" s="277"/>
      <c r="B6" s="189" t="s">
        <v>318</v>
      </c>
      <c r="C6" s="191" t="s">
        <v>319</v>
      </c>
      <c r="D6" s="191"/>
      <c r="E6" s="191"/>
      <c r="F6" s="192"/>
      <c r="G6" s="135"/>
      <c r="H6" s="193"/>
      <c r="I6" s="106"/>
      <c r="J6" s="106"/>
      <c r="K6" s="106"/>
      <c r="L6" s="106"/>
      <c r="M6" s="106"/>
      <c r="N6" s="106"/>
      <c r="O6" s="13"/>
      <c r="P6" s="172"/>
      <c r="Q6" s="27"/>
      <c r="R6" s="27"/>
      <c r="S6" s="27"/>
      <c r="T6" s="27"/>
      <c r="U6" s="27"/>
      <c r="V6" s="27"/>
      <c r="W6" s="13"/>
      <c r="X6" s="13"/>
      <c r="Y6" s="13"/>
      <c r="Z6" s="13"/>
      <c r="AA6" s="13"/>
      <c r="AB6" s="13"/>
      <c r="AC6" s="13"/>
      <c r="AD6" s="13"/>
    </row>
    <row r="7" spans="1:30" ht="22.5" customHeight="1" x14ac:dyDescent="0.15">
      <c r="A7" s="27"/>
      <c r="B7" s="41"/>
      <c r="C7" s="12"/>
      <c r="D7" s="12"/>
      <c r="E7" s="12"/>
      <c r="F7" s="138"/>
      <c r="G7" s="27"/>
      <c r="H7" s="106"/>
      <c r="I7" s="106"/>
      <c r="J7" s="106"/>
      <c r="K7" s="106"/>
      <c r="L7" s="106"/>
      <c r="M7" s="106"/>
      <c r="N7" s="106"/>
      <c r="O7" s="13"/>
      <c r="P7" s="172"/>
      <c r="Q7" s="27"/>
      <c r="R7" s="27"/>
      <c r="S7" s="27"/>
      <c r="T7" s="27"/>
      <c r="U7" s="27"/>
      <c r="V7" s="27"/>
      <c r="W7" s="13"/>
      <c r="X7" s="13"/>
      <c r="Y7" s="13"/>
      <c r="Z7" s="13"/>
      <c r="AA7" s="13"/>
      <c r="AB7" s="13"/>
      <c r="AC7" s="13"/>
      <c r="AD7" s="13"/>
    </row>
    <row r="8" spans="1:30" ht="22.5" customHeight="1" x14ac:dyDescent="0.15">
      <c r="A8" s="27"/>
      <c r="B8" s="41"/>
      <c r="C8" s="12"/>
      <c r="D8" s="12"/>
      <c r="E8" s="12"/>
      <c r="F8" s="138"/>
      <c r="G8" s="27"/>
      <c r="H8" s="106"/>
      <c r="I8" s="106"/>
      <c r="J8" s="106"/>
      <c r="K8" s="106"/>
      <c r="L8" s="106"/>
      <c r="M8" s="106"/>
      <c r="N8" s="106"/>
      <c r="O8" s="13"/>
      <c r="P8" s="172"/>
      <c r="Q8" s="27"/>
      <c r="R8" s="27"/>
      <c r="S8" s="27"/>
      <c r="T8" s="27"/>
      <c r="U8" s="27"/>
      <c r="V8" s="27"/>
      <c r="W8" s="13"/>
      <c r="X8" s="13"/>
      <c r="Y8" s="13"/>
      <c r="Z8" s="13"/>
      <c r="AA8" s="13"/>
      <c r="AB8" s="13"/>
      <c r="AC8" s="13"/>
      <c r="AD8" s="13"/>
    </row>
    <row r="9" spans="1:30" ht="22.5" customHeight="1" x14ac:dyDescent="0.15">
      <c r="A9" s="27"/>
      <c r="B9" s="41"/>
      <c r="C9" s="12"/>
      <c r="D9" s="12"/>
      <c r="E9" s="12"/>
      <c r="F9" s="138"/>
      <c r="G9" s="27"/>
      <c r="H9" s="106"/>
      <c r="I9" s="106"/>
      <c r="J9" s="106"/>
      <c r="K9" s="106"/>
      <c r="L9" s="106"/>
      <c r="M9" s="106"/>
      <c r="N9" s="106"/>
      <c r="O9" s="13"/>
      <c r="P9" s="172"/>
      <c r="Q9" s="27"/>
      <c r="R9" s="27"/>
      <c r="S9" s="27"/>
      <c r="T9" s="27"/>
      <c r="U9" s="27"/>
      <c r="V9" s="27"/>
      <c r="W9" s="13"/>
      <c r="X9" s="13"/>
      <c r="Y9" s="13"/>
      <c r="Z9" s="13"/>
      <c r="AA9" s="13"/>
      <c r="AB9" s="13"/>
      <c r="AC9" s="13"/>
      <c r="AD9" s="13"/>
    </row>
    <row r="10" spans="1:30" ht="22.5" customHeight="1" x14ac:dyDescent="0.15">
      <c r="A10" s="27"/>
      <c r="B10" s="41"/>
      <c r="C10" s="12"/>
      <c r="D10" s="12"/>
      <c r="E10" s="12"/>
      <c r="F10" s="138"/>
      <c r="G10" s="27"/>
      <c r="H10" s="106"/>
      <c r="I10" s="106"/>
      <c r="J10" s="106"/>
      <c r="K10" s="106"/>
      <c r="L10" s="106"/>
      <c r="M10" s="106"/>
      <c r="N10" s="106"/>
      <c r="O10" s="13"/>
      <c r="P10" s="172"/>
      <c r="Q10" s="27"/>
      <c r="R10" s="27"/>
      <c r="S10" s="27"/>
      <c r="T10" s="27"/>
      <c r="U10" s="27"/>
      <c r="V10" s="27"/>
      <c r="W10" s="13"/>
      <c r="X10" s="13"/>
      <c r="Y10" s="13"/>
      <c r="Z10" s="13"/>
      <c r="AA10" s="13"/>
      <c r="AB10" s="13"/>
      <c r="AC10" s="13"/>
      <c r="AD10" s="13"/>
    </row>
    <row r="11" spans="1:30" ht="30.75" customHeight="1" x14ac:dyDescent="0.15">
      <c r="A11" s="194"/>
      <c r="B11" s="194"/>
      <c r="C11" s="194"/>
      <c r="D11" s="194"/>
      <c r="E11" s="194"/>
      <c r="F11" s="194"/>
      <c r="G11" s="194"/>
      <c r="H11" s="194"/>
      <c r="I11" s="195"/>
      <c r="J11" s="194"/>
      <c r="K11" s="194"/>
      <c r="L11" s="194"/>
      <c r="M11" s="194"/>
      <c r="N11" s="194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22.5" customHeight="1" x14ac:dyDescent="0.15">
      <c r="A12" s="316" t="s">
        <v>320</v>
      </c>
      <c r="B12" s="252"/>
      <c r="C12" s="252"/>
      <c r="D12" s="252"/>
      <c r="E12" s="252"/>
      <c r="F12" s="252"/>
      <c r="G12" s="252"/>
      <c r="H12" s="252"/>
      <c r="I12" s="252"/>
      <c r="J12" s="317"/>
      <c r="K12" s="304" t="s">
        <v>32</v>
      </c>
      <c r="L12" s="261"/>
      <c r="M12" s="261"/>
      <c r="N12" s="262"/>
      <c r="O12" s="303" t="s">
        <v>321</v>
      </c>
      <c r="P12" s="252"/>
      <c r="Q12" s="252"/>
      <c r="R12" s="252"/>
      <c r="S12" s="252"/>
      <c r="T12" s="252"/>
      <c r="U12" s="252"/>
      <c r="V12" s="253"/>
      <c r="W12" s="282" t="s">
        <v>98</v>
      </c>
      <c r="X12" s="236"/>
      <c r="Y12" s="13"/>
      <c r="Z12" s="2"/>
      <c r="AA12" s="2"/>
      <c r="AB12" s="2"/>
      <c r="AC12" s="2"/>
      <c r="AD12" s="2"/>
    </row>
    <row r="13" spans="1:30" ht="42.75" customHeight="1" x14ac:dyDescent="0.15">
      <c r="A13" s="141" t="s">
        <v>322</v>
      </c>
      <c r="B13" s="141" t="s">
        <v>52</v>
      </c>
      <c r="C13" s="141" t="s">
        <v>323</v>
      </c>
      <c r="D13" s="144" t="s">
        <v>324</v>
      </c>
      <c r="E13" s="174" t="s">
        <v>325</v>
      </c>
      <c r="F13" s="141" t="s">
        <v>326</v>
      </c>
      <c r="G13" s="141" t="s">
        <v>327</v>
      </c>
      <c r="H13" s="141" t="s">
        <v>328</v>
      </c>
      <c r="I13" s="141" t="s">
        <v>329</v>
      </c>
      <c r="J13" s="175" t="s">
        <v>330</v>
      </c>
      <c r="K13" s="47" t="s">
        <v>42</v>
      </c>
      <c r="L13" s="47" t="s">
        <v>46</v>
      </c>
      <c r="M13" s="47" t="s">
        <v>47</v>
      </c>
      <c r="N13" s="47" t="s">
        <v>48</v>
      </c>
      <c r="O13" s="196" t="s">
        <v>69</v>
      </c>
      <c r="P13" s="197" t="s">
        <v>255</v>
      </c>
      <c r="Q13" s="197" t="s">
        <v>256</v>
      </c>
      <c r="R13" s="198" t="s">
        <v>331</v>
      </c>
      <c r="S13" s="198" t="s">
        <v>332</v>
      </c>
      <c r="T13" s="198" t="s">
        <v>333</v>
      </c>
      <c r="U13" s="198" t="s">
        <v>334</v>
      </c>
      <c r="V13" s="198" t="s">
        <v>335</v>
      </c>
      <c r="W13" s="82" t="s">
        <v>114</v>
      </c>
      <c r="X13" s="82" t="s">
        <v>113</v>
      </c>
      <c r="Y13" s="81"/>
      <c r="Z13" s="82"/>
      <c r="AA13" s="82"/>
      <c r="AB13" s="82"/>
      <c r="AC13" s="82"/>
      <c r="AD13" s="82"/>
    </row>
    <row r="14" spans="1:30" ht="90" x14ac:dyDescent="0.15">
      <c r="A14" s="199" t="s">
        <v>336</v>
      </c>
      <c r="B14" s="200">
        <v>1</v>
      </c>
      <c r="C14" s="201" t="s">
        <v>115</v>
      </c>
      <c r="D14" s="202"/>
      <c r="E14" s="202"/>
      <c r="F14" s="202" t="s">
        <v>337</v>
      </c>
      <c r="G14" s="62" t="s">
        <v>338</v>
      </c>
      <c r="H14" s="203" t="s">
        <v>339</v>
      </c>
      <c r="I14" s="203" t="s">
        <v>340</v>
      </c>
      <c r="J14" s="204" t="s">
        <v>341</v>
      </c>
      <c r="K14" s="62" t="s">
        <v>93</v>
      </c>
      <c r="L14" s="83"/>
      <c r="M14" s="83"/>
      <c r="N14" s="83"/>
      <c r="O14" s="153" t="s">
        <v>342</v>
      </c>
      <c r="P14" s="154" t="str">
        <f>"gio('visitor.set','"&amp;E14&amp;"','VALUE');"</f>
        <v>gio('visitor.set','','VALUE');</v>
      </c>
      <c r="Q14" s="205" t="s">
        <v>343</v>
      </c>
      <c r="R14" s="154" t="str">
        <f>CONCATENATE("[Growing setVisitor:"&amp;W14)</f>
        <v>[Growing setVisitor:@{@"userCampaign_vstr" : @"VALUE"}];</v>
      </c>
      <c r="S14" s="154" t="s">
        <v>344</v>
      </c>
      <c r="T14" s="154" t="str">
        <f>CONCATENATE("GrowingIO gio = GrowingIO.getInstance();
JSONObject jsonObject = new JSONObject();
jsonObject.put"&amp;X14&amp;"
gio.setVisitor(jsonObject);")</f>
        <v>GrowingIO gio = GrowingIO.getInstance();
JSONObject jsonObject = new JSONObject();
jsonObject.put("userCampaign_vstr","VALUE");
gio.setVisitor(jsonObject);</v>
      </c>
      <c r="U14" s="154" t="s">
        <v>345</v>
      </c>
      <c r="V14" s="154" t="str">
        <f>"gio('setVisitor',{
'"&amp;F14&amp;"': 'VALUE'
});"</f>
        <v>gio('setVisitor',{
'userCampaign_vstr': 'VALUE'
});</v>
      </c>
      <c r="W14" s="157" t="str">
        <f>CONCATENATE("@{@"""&amp;F14&amp;""" : @""VALUE""}];")</f>
        <v>@{@"userCampaign_vstr" : @"VALUE"}];</v>
      </c>
      <c r="X14" s="157" t="str">
        <f>CONCATENATE("("""&amp;F14&amp;""",""VALUE"");")</f>
        <v>("userCampaign_vstr","VALUE");</v>
      </c>
      <c r="Y14" s="179"/>
      <c r="Z14" s="2"/>
      <c r="AA14" s="2"/>
      <c r="AB14" s="2"/>
      <c r="AC14" s="2"/>
      <c r="AD14" s="2"/>
    </row>
    <row r="15" spans="1:30" ht="23.25" customHeight="1" x14ac:dyDescent="0.15">
      <c r="A15" s="206"/>
      <c r="B15" s="55"/>
      <c r="C15" s="207"/>
      <c r="D15" s="208"/>
      <c r="E15" s="208"/>
      <c r="F15" s="208"/>
      <c r="G15" s="209"/>
      <c r="H15" s="209"/>
      <c r="I15" s="209"/>
      <c r="J15" s="55"/>
      <c r="K15" s="89" t="s">
        <v>81</v>
      </c>
      <c r="L15" s="62" t="s">
        <v>125</v>
      </c>
      <c r="M15" s="62"/>
      <c r="N15" s="62"/>
      <c r="O15" s="210" t="s">
        <v>92</v>
      </c>
      <c r="P15" s="182"/>
      <c r="Q15" s="181" t="s">
        <v>92</v>
      </c>
      <c r="R15" s="182"/>
      <c r="S15" s="181" t="s">
        <v>92</v>
      </c>
      <c r="T15" s="182"/>
      <c r="U15" s="181" t="s">
        <v>92</v>
      </c>
      <c r="V15" s="169"/>
      <c r="W15" s="179"/>
      <c r="X15" s="179"/>
      <c r="Y15" s="179"/>
      <c r="Z15" s="2"/>
      <c r="AA15" s="2"/>
      <c r="AB15" s="2"/>
      <c r="AC15" s="2"/>
      <c r="AD15" s="2"/>
    </row>
    <row r="16" spans="1:30" ht="23.25" customHeight="1" x14ac:dyDescent="0.15">
      <c r="A16" s="211"/>
      <c r="B16" s="209"/>
      <c r="C16" s="207"/>
      <c r="D16" s="208"/>
      <c r="E16" s="208"/>
      <c r="F16" s="208"/>
      <c r="G16" s="209"/>
      <c r="H16" s="209"/>
      <c r="I16" s="209"/>
      <c r="J16" s="55"/>
      <c r="K16" s="100"/>
      <c r="L16" s="100"/>
      <c r="M16" s="100"/>
      <c r="N16" s="100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9.5" customHeight="1" x14ac:dyDescent="0.15">
      <c r="A17" s="206"/>
      <c r="B17" s="55"/>
      <c r="C17" s="207"/>
      <c r="D17" s="208"/>
      <c r="E17" s="208"/>
      <c r="F17" s="208"/>
      <c r="G17" s="209"/>
      <c r="H17" s="209"/>
      <c r="I17" s="209"/>
      <c r="J17" s="55"/>
      <c r="K17" s="89"/>
      <c r="L17" s="89"/>
      <c r="M17" s="89"/>
      <c r="N17" s="89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19.5" customHeight="1" x14ac:dyDescent="0.15">
      <c r="A18" s="206"/>
      <c r="B18" s="55"/>
      <c r="C18" s="207"/>
      <c r="D18" s="208"/>
      <c r="E18" s="208"/>
      <c r="F18" s="208"/>
      <c r="G18" s="209"/>
      <c r="H18" s="209"/>
      <c r="I18" s="209"/>
      <c r="J18" s="209"/>
      <c r="K18" s="89"/>
      <c r="L18" s="89"/>
      <c r="M18" s="89"/>
      <c r="N18" s="89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19.5" customHeight="1" x14ac:dyDescent="0.15">
      <c r="A19" s="55"/>
      <c r="B19" s="55"/>
      <c r="C19" s="92"/>
      <c r="D19" s="55"/>
      <c r="E19" s="55"/>
      <c r="F19" s="55"/>
      <c r="G19" s="55"/>
      <c r="H19" s="55"/>
      <c r="I19" s="55"/>
      <c r="J19" s="55"/>
      <c r="K19" s="89"/>
      <c r="L19" s="89"/>
      <c r="M19" s="89"/>
      <c r="N19" s="89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19.5" customHeight="1" x14ac:dyDescent="0.15">
      <c r="A20" s="55"/>
      <c r="B20" s="55"/>
      <c r="C20" s="92"/>
      <c r="D20" s="55"/>
      <c r="E20" s="55"/>
      <c r="F20" s="55"/>
      <c r="G20" s="55"/>
      <c r="H20" s="55"/>
      <c r="I20" s="55"/>
      <c r="J20" s="55"/>
      <c r="K20" s="89"/>
      <c r="L20" s="89"/>
      <c r="M20" s="89"/>
      <c r="N20" s="89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19.5" customHeight="1" x14ac:dyDescent="0.15">
      <c r="A21" s="55"/>
      <c r="B21" s="55"/>
      <c r="C21" s="92"/>
      <c r="D21" s="55"/>
      <c r="E21" s="55"/>
      <c r="F21" s="55"/>
      <c r="G21" s="55"/>
      <c r="H21" s="55"/>
      <c r="I21" s="55"/>
      <c r="J21" s="55"/>
      <c r="K21" s="89"/>
      <c r="L21" s="89"/>
      <c r="M21" s="89"/>
      <c r="N21" s="89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19.5" customHeight="1" x14ac:dyDescent="0.15">
      <c r="A22" s="55"/>
      <c r="B22" s="55"/>
      <c r="C22" s="92"/>
      <c r="D22" s="55"/>
      <c r="E22" s="55"/>
      <c r="F22" s="55"/>
      <c r="G22" s="55"/>
      <c r="H22" s="55"/>
      <c r="I22" s="55"/>
      <c r="J22" s="55"/>
      <c r="K22" s="100"/>
      <c r="L22" s="100"/>
      <c r="M22" s="100"/>
      <c r="N22" s="100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19.5" customHeight="1" x14ac:dyDescent="0.15">
      <c r="A23" s="55"/>
      <c r="B23" s="55"/>
      <c r="C23" s="92"/>
      <c r="D23" s="55"/>
      <c r="E23" s="55"/>
      <c r="F23" s="55"/>
      <c r="G23" s="55"/>
      <c r="H23" s="55"/>
      <c r="I23" s="55"/>
      <c r="J23" s="55"/>
      <c r="K23" s="89"/>
      <c r="L23" s="89"/>
      <c r="M23" s="89"/>
      <c r="N23" s="89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19.5" customHeight="1" x14ac:dyDescent="0.15">
      <c r="A24" s="55"/>
      <c r="B24" s="55"/>
      <c r="C24" s="92"/>
      <c r="D24" s="55"/>
      <c r="E24" s="55"/>
      <c r="F24" s="55"/>
      <c r="G24" s="55"/>
      <c r="H24" s="55"/>
      <c r="I24" s="55"/>
      <c r="J24" s="55"/>
      <c r="K24" s="89"/>
      <c r="L24" s="89"/>
      <c r="M24" s="89"/>
      <c r="N24" s="89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9.5" customHeight="1" x14ac:dyDescent="0.15">
      <c r="A25" s="55"/>
      <c r="B25" s="55"/>
      <c r="C25" s="92"/>
      <c r="D25" s="55"/>
      <c r="E25" s="55"/>
      <c r="F25" s="55"/>
      <c r="G25" s="55"/>
      <c r="H25" s="55"/>
      <c r="I25" s="55"/>
      <c r="J25" s="55"/>
      <c r="K25" s="89"/>
      <c r="L25" s="89"/>
      <c r="M25" s="89"/>
      <c r="N25" s="89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9.5" customHeight="1" x14ac:dyDescent="0.15">
      <c r="A26" s="132"/>
      <c r="B26" s="132"/>
      <c r="C26" s="132"/>
      <c r="D26" s="132"/>
      <c r="E26" s="132"/>
      <c r="F26" s="132"/>
      <c r="G26" s="132"/>
      <c r="H26" s="132"/>
      <c r="I26" s="132"/>
      <c r="J26" s="132"/>
      <c r="K26" s="108"/>
      <c r="L26" s="113"/>
      <c r="M26" s="113"/>
      <c r="N26" s="11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9.5" customHeight="1" x14ac:dyDescent="0.15">
      <c r="A27" s="132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9.5" customHeight="1" x14ac:dyDescent="0.15">
      <c r="A28" s="132"/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9.5" customHeight="1" x14ac:dyDescent="0.15">
      <c r="A29" s="132"/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9.5" customHeight="1" x14ac:dyDescent="0.15">
      <c r="A30" s="132"/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9.5" customHeight="1" x14ac:dyDescent="0.15">
      <c r="A31" s="132"/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9.5" customHeight="1" x14ac:dyDescent="0.15">
      <c r="A32" s="132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9.5" customHeight="1" x14ac:dyDescent="0.15">
      <c r="A33" s="132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9.5" customHeight="1" x14ac:dyDescent="0.15">
      <c r="A34" s="132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9.5" customHeight="1" x14ac:dyDescent="0.15">
      <c r="A35" s="132"/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9.5" customHeight="1" x14ac:dyDescent="0.15">
      <c r="A36" s="132"/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9.5" customHeight="1" x14ac:dyDescent="0.15">
      <c r="A37" s="132"/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9.5" customHeight="1" x14ac:dyDescent="0.15">
      <c r="A38" s="132"/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9.5" customHeight="1" x14ac:dyDescent="0.15">
      <c r="A39" s="132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9.5" customHeight="1" x14ac:dyDescent="0.15">
      <c r="A40" s="132"/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9.5" customHeight="1" x14ac:dyDescent="0.15">
      <c r="A41" s="132"/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9.5" customHeight="1" x14ac:dyDescent="0.15">
      <c r="A42" s="132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9.5" customHeight="1" x14ac:dyDescent="0.15">
      <c r="A43" s="132"/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9.5" customHeight="1" x14ac:dyDescent="0.15">
      <c r="A44" s="132"/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9.5" customHeight="1" x14ac:dyDescent="0.15">
      <c r="A45" s="132"/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9.5" customHeight="1" x14ac:dyDescent="0.15">
      <c r="A46" s="132"/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9.5" customHeight="1" x14ac:dyDescent="0.15">
      <c r="A47" s="132"/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9.5" customHeight="1" x14ac:dyDescent="0.15">
      <c r="A48" s="132"/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9.5" customHeight="1" x14ac:dyDescent="0.15">
      <c r="A49" s="132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9.5" customHeight="1" x14ac:dyDescent="0.15">
      <c r="A50" s="132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9.5" customHeight="1" x14ac:dyDescent="0.15">
      <c r="A51" s="132"/>
      <c r="B51" s="132"/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9.5" customHeight="1" x14ac:dyDescent="0.15">
      <c r="A52" s="132"/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9.5" customHeight="1" x14ac:dyDescent="0.15">
      <c r="A53" s="132"/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9.5" customHeight="1" x14ac:dyDescent="0.15">
      <c r="A54" s="132"/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9.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9.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9.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9.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9.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9.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9.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9.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9.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9.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9.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9.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9.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9.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9.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9.5" customHeight="1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9.5" customHeight="1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9.5" customHeight="1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9.5" customHeight="1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9.5" customHeight="1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9.5" customHeight="1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9.5" customHeight="1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9.5" customHeight="1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9.5" customHeight="1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9.5" customHeight="1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9.5" customHeight="1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9.5" customHeight="1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9.5" customHeight="1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9.5" customHeight="1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9.5" customHeight="1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9.5" customHeight="1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9.5" customHeight="1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9.5" customHeight="1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9.5" customHeight="1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9.5" customHeight="1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9.5" customHeight="1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9.5" customHeight="1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9.5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9.5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9.5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9.5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9.5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9.5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9.5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9.5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9.5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9.5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9.5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9.5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9.5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9.5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9.5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9.5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9.5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9.5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9.5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9.5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9.5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9.5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9.5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9.5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9.5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9.5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9.5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9.5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9.5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9.5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9.5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9.5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9.5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9.5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9.5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9.5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9.5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9.5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9.5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9.5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9.5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9.5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9.5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9.5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9.5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9.5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9.5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9.5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9.5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9.5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9.5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9.5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9.5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9.5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9.5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9.5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9.5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9.5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9.5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9.5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9.5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9.5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9.5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9.5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9.5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9.5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9.5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9.5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9.5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9.5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9.5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9.5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9.5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9.5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9.5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9.5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9.5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9.5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9.5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9.5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9.5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9.5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9.5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9.5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9.5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9.5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9.5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9.5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9.5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9.5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9.5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9.5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9.5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9.5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9.5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9.5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9.5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9.5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9.5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9.5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9.5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9.5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9.5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9.5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9.5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9.5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9.5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9.5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9.5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9.5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9.5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9.5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9.5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9.5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9.5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9.5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9.5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9.5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9.5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9.5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9.5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9.5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9.5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9.5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9.5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9.5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9.5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9.5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9.5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9.5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9.5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5.75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5.75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5.75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5.75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5.75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5.75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5.75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5.75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5.75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5.75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5.75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5.75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5.75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5.75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5.75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5.75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5.75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5.75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5.75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5.75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5.75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5.75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5.75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5.75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5.75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5.75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5.75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5.75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5.75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5.75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5.75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5.75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5.75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5.75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5.75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5.75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5.75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5.75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5.75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5.75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5.75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5.75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5.75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5.75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5.75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5.75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5.75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5.75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5.75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5.75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5.75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5.75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5.75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5.75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5.75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5.75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5.75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5.75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5.75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5.75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5.75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5.75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5.75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5.75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5.75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5.75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5.75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5.75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5.75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5.75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5.75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5.75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5.75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5.75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5.75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5.75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5.75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5.75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5.75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5.75" customHeight="1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5.75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5.75" customHeight="1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5.75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5.75" customHeight="1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5.75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5.75" customHeight="1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5.75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5.75" customHeight="1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5.75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5.75" customHeight="1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5.75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5.75" customHeight="1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5.75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5.75" customHeight="1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5.75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5.75" customHeight="1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5.75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5.75" customHeight="1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5.75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5.75" customHeight="1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5.75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5.75" customHeight="1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5.75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5.75" customHeight="1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5.75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5.75" customHeight="1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5.75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5.75" customHeight="1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5.75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5.75" customHeight="1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5.75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5.75" customHeight="1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5.75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5.75" customHeight="1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5.75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5.75" customHeight="1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5.75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5.75" customHeight="1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5.75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5.75" customHeight="1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5.75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5.75" customHeight="1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5.75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5.75" customHeight="1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5.75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5.75" customHeight="1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5.75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5.75" customHeight="1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5.75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5.75" customHeight="1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5.75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5.75" customHeight="1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5.75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5.75" customHeight="1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5.75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5.75" customHeight="1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5.75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5.75" customHeight="1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5.75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5.75" customHeight="1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5.75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5.75" customHeight="1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5.75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5.75" customHeight="1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5.75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5.75" customHeight="1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5.75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5.75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5.75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5.75" customHeight="1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5.75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5.75" customHeight="1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5.75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5.75" customHeight="1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5.75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5.75" customHeight="1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5.75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5.75" customHeight="1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5.75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5.75" customHeight="1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5.75" customHeight="1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5.75" customHeight="1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5.75" customHeight="1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5.75" customHeight="1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5.75" customHeight="1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5.75" customHeight="1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5.75" customHeight="1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5.75" customHeight="1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5.75" customHeight="1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5.75" customHeight="1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5.75" customHeight="1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5.75" customHeight="1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5.75" customHeight="1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5.75" customHeight="1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5.75" customHeight="1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5.75" customHeight="1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5.75" customHeight="1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5.75" customHeight="1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5.75" customHeight="1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5.75" customHeight="1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5.75" customHeight="1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5.75" customHeight="1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5.75" customHeight="1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5.75" customHeight="1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5.75" customHeight="1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5.75" customHeight="1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5.75" customHeight="1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5.75" customHeight="1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5.75" customHeight="1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5.75" customHeight="1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5.75" customHeight="1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5.75" customHeight="1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5.75" customHeight="1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5.75" customHeight="1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5.75" customHeight="1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5.75" customHeight="1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5.75" customHeight="1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5.75" customHeight="1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5.75" customHeight="1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5.75" customHeight="1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5.75" customHeight="1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5.75" customHeight="1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5.75" customHeight="1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5.75" customHeight="1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5.75" customHeight="1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5.75" customHeight="1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5.75" customHeight="1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5.75" customHeight="1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5.75" customHeight="1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5.75" customHeight="1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5.75" customHeight="1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5.75" customHeight="1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5.75" customHeight="1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5.75" customHeight="1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5.75" customHeight="1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5.75" customHeight="1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5.75" customHeight="1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5.75" customHeight="1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5.75" customHeight="1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5.75" customHeight="1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5.75" customHeight="1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5.75" customHeight="1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5.75" customHeight="1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5.75" customHeight="1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5.75" customHeight="1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5.75" customHeight="1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5.75" customHeight="1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5.75" customHeight="1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5.75" customHeight="1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5.75" customHeight="1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5.75" customHeight="1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5.75" customHeight="1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5.75" customHeight="1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5.75" customHeight="1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5.75" customHeight="1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5.75" customHeight="1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5.75" customHeight="1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5.75" customHeight="1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5.75" customHeight="1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5.75" customHeight="1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5.75" customHeight="1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5.75" customHeight="1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5.75" customHeight="1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5.75" customHeight="1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5.75" customHeight="1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5.75" customHeight="1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5.75" customHeight="1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5.75" customHeight="1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5.75" customHeight="1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5.75" customHeight="1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5.75" customHeight="1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5.75" customHeight="1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5.75" customHeight="1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5.75" customHeight="1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5.75" customHeight="1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5.75" customHeight="1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5.75" customHeight="1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5.75" customHeight="1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5.75" customHeight="1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5.75" customHeight="1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5.75" customHeight="1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5.75" customHeight="1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5.75" customHeight="1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5.75" customHeight="1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5.75" customHeight="1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5.75" customHeight="1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5.75" customHeight="1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5.75" customHeight="1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5.75" customHeight="1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5.75" customHeight="1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5.75" customHeight="1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5.75" customHeight="1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5.75" customHeight="1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5.75" customHeight="1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5.75" customHeight="1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5.75" customHeight="1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5.75" customHeight="1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5.75" customHeight="1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5.75" customHeight="1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5.75" customHeight="1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5.75" customHeight="1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5.75" customHeight="1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5.75" customHeight="1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5.75" customHeight="1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5.75" customHeight="1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5.75" customHeight="1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5.75" customHeight="1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5.75" customHeight="1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5.75" customHeight="1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5.75" customHeight="1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5.75" customHeight="1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5.75" customHeight="1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5.75" customHeight="1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5.75" customHeight="1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5.75" customHeight="1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5.75" customHeight="1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5.75" customHeight="1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5.75" customHeight="1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5.75" customHeight="1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5.75" customHeight="1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5.75" customHeight="1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5.75" customHeight="1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5.75" customHeight="1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5.75" customHeight="1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5.75" customHeight="1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5.75" customHeight="1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5.75" customHeight="1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5.75" customHeight="1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5.75" customHeight="1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5.75" customHeight="1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5.75" customHeight="1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5.75" customHeight="1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5.75" customHeight="1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5.75" customHeight="1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5.75" customHeight="1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5.75" customHeight="1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5.75" customHeight="1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5.75" customHeight="1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5.75" customHeight="1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5.75" customHeight="1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5.75" customHeight="1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5.75" customHeight="1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5.75" customHeight="1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5.75" customHeight="1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5.75" customHeight="1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5.75" customHeight="1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5.75" customHeight="1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5.75" customHeight="1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5.75" customHeight="1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5.75" customHeight="1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5.75" customHeight="1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5.75" customHeight="1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5.75" customHeight="1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5.75" customHeight="1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5.75" customHeight="1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5.75" customHeight="1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5.75" customHeight="1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5.75" customHeight="1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5.75" customHeight="1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5.75" customHeight="1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5.75" customHeight="1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5.75" customHeight="1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5.75" customHeight="1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5.75" customHeight="1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5.75" customHeight="1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5.75" customHeight="1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5.75" customHeight="1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5.75" customHeight="1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5.75" customHeight="1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5.75" customHeight="1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5.75" customHeight="1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5.75" customHeight="1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5.75" customHeight="1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5.75" customHeight="1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5.75" customHeight="1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5.75" customHeight="1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5.75" customHeight="1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5.75" customHeight="1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5.75" customHeight="1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5.75" customHeight="1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5.75" customHeight="1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5.75" customHeight="1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5.75" customHeight="1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5.75" customHeight="1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5.75" customHeight="1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5.75" customHeight="1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5.75" customHeight="1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5.75" customHeight="1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5.75" customHeight="1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5.75" customHeight="1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5.75" customHeight="1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5.75" customHeight="1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5.75" customHeight="1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5.75" customHeight="1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5.75" customHeight="1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5.75" customHeight="1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5.75" customHeight="1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5.75" customHeight="1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5.75" customHeight="1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5.75" customHeight="1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5.75" customHeight="1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5.75" customHeight="1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5.75" customHeight="1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5.75" customHeight="1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5.75" customHeight="1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5.75" customHeight="1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5.75" customHeight="1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5.75" customHeight="1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5.75" customHeight="1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5.75" customHeight="1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5.75" customHeight="1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5.75" customHeight="1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5.75" customHeight="1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5.75" customHeight="1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5.75" customHeight="1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5.75" customHeight="1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5.75" customHeight="1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5.75" customHeight="1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5.75" customHeight="1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5.75" customHeight="1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5.75" customHeight="1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5.75" customHeight="1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5.75" customHeight="1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5.75" customHeight="1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5.75" customHeight="1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5.75" customHeight="1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5.75" customHeight="1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5.75" customHeight="1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5.75" customHeight="1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5.75" customHeight="1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5.75" customHeight="1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5.75" customHeight="1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5.75" customHeight="1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5.75" customHeight="1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5.75" customHeight="1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5.75" customHeight="1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5.75" customHeight="1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5.75" customHeight="1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5.75" customHeight="1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5.75" customHeight="1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5.75" customHeight="1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5.75" customHeight="1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5.75" customHeight="1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5.75" customHeight="1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5.75" customHeight="1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5.75" customHeight="1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5.75" customHeight="1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5.75" customHeight="1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5.75" customHeight="1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5.75" customHeight="1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5.75" customHeight="1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5.75" customHeight="1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5.75" customHeight="1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5.75" customHeight="1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5.75" customHeight="1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5.75" customHeight="1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5.75" customHeight="1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5.75" customHeight="1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5.75" customHeight="1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5.75" customHeight="1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5.75" customHeight="1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5.75" customHeight="1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5.75" customHeight="1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5.75" customHeight="1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5.75" customHeight="1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5.75" customHeight="1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5.75" customHeight="1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5.75" customHeight="1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5.75" customHeight="1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5.75" customHeight="1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5.75" customHeight="1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5.75" customHeight="1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5.75" customHeight="1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5.75" customHeight="1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5.75" customHeight="1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5.75" customHeight="1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5.75" customHeight="1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5.75" customHeight="1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5.75" customHeight="1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5.75" customHeight="1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5.75" customHeight="1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5.75" customHeight="1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5.75" customHeight="1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5.75" customHeight="1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5.75" customHeight="1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5.75" customHeight="1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5.75" customHeight="1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5.75" customHeight="1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5.75" customHeight="1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5.75" customHeight="1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5.75" customHeight="1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5.75" customHeight="1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5.75" customHeight="1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5.75" customHeight="1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5.75" customHeight="1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5.75" customHeight="1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5.75" customHeight="1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5.75" customHeight="1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5.75" customHeight="1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5.75" customHeight="1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5.75" customHeight="1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5.75" customHeight="1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15.75" customHeight="1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15.75" customHeight="1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15.75" customHeight="1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15.75" customHeight="1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5.75" customHeight="1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15.75" customHeight="1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15.75" customHeight="1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5.75" customHeight="1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15.75" customHeight="1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15.75" customHeight="1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15.75" customHeight="1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15.75" customHeight="1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15.75" customHeight="1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15.75" customHeight="1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15.75" customHeight="1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15.75" customHeight="1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15.75" customHeight="1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15.75" customHeight="1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15.75" customHeight="1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15.75" customHeight="1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15.75" customHeight="1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15.75" customHeight="1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15.75" customHeight="1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15.75" customHeight="1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15.75" customHeight="1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15.75" customHeight="1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15.75" customHeight="1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15.75" customHeight="1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15.75" customHeight="1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15.75" customHeight="1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15.75" customHeight="1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15.75" customHeight="1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15.75" customHeight="1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15.75" customHeight="1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15.75" customHeight="1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15.75" customHeight="1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15.75" customHeight="1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15.75" customHeight="1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15.75" customHeight="1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15.75" customHeight="1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15.75" customHeight="1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15.75" customHeight="1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15.75" customHeight="1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15.75" customHeight="1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15.75" customHeight="1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15.75" customHeight="1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15.75" customHeight="1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15.75" customHeight="1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15.75" customHeight="1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15.75" customHeight="1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15.75" customHeight="1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15.75" customHeight="1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15.75" customHeight="1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15.75" customHeight="1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15.75" customHeight="1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15.75" customHeight="1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15.75" customHeight="1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15.75" customHeight="1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15.75" customHeight="1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15.75" customHeight="1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15.75" customHeight="1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15.75" customHeight="1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15.75" customHeight="1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15.75" customHeight="1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15.75" customHeight="1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15.75" customHeight="1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15.75" customHeight="1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15.75" customHeight="1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15.75" customHeight="1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15.75" customHeight="1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15.75" customHeight="1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15.75" customHeight="1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15.75" customHeight="1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15.75" customHeight="1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15.75" customHeight="1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15.75" customHeight="1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15.75" customHeight="1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15.75" customHeight="1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15.75" customHeight="1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15.75" customHeight="1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15.75" customHeight="1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15.75" customHeight="1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15.75" customHeight="1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15.75" customHeight="1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15.75" customHeight="1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15.75" customHeight="1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15.75" customHeight="1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15.75" customHeight="1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15.75" customHeight="1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15.75" customHeight="1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15.75" customHeight="1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15.75" customHeight="1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15.75" customHeight="1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15.75" customHeight="1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15.75" customHeight="1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15.75" customHeight="1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15.75" customHeight="1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15.75" customHeight="1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15.75" customHeight="1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15.75" customHeight="1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15.75" customHeight="1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15.75" customHeight="1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15.75" customHeight="1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15.75" customHeight="1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15.75" customHeight="1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15.75" customHeight="1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15.75" customHeight="1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15.75" customHeight="1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15.75" customHeight="1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15.75" customHeight="1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15.75" customHeight="1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15.75" customHeight="1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15.75" customHeight="1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15.75" customHeight="1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15.75" customHeight="1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15.75" customHeight="1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15.75" customHeight="1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15.75" customHeight="1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15.75" customHeight="1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15.75" customHeight="1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15.75" customHeight="1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15.75" customHeight="1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15.75" customHeight="1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15.75" customHeight="1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15.75" customHeight="1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15.75" customHeight="1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15.75" customHeight="1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15.75" customHeight="1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15.75" customHeight="1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15.75" customHeight="1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15.75" customHeight="1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15.75" customHeight="1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15.75" customHeight="1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15.75" customHeight="1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15.75" customHeight="1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15.75" customHeight="1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15.75" customHeight="1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15.75" customHeight="1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15.75" customHeight="1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15.75" customHeight="1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15.75" customHeight="1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15.75" customHeight="1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15.75" customHeight="1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15.75" customHeight="1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15.75" customHeight="1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15.75" customHeight="1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15.75" customHeight="1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15.75" customHeight="1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15.75" customHeight="1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15.75" customHeight="1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15.75" customHeight="1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15.75" customHeight="1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15.75" customHeight="1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15.75" customHeight="1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15.75" customHeight="1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15.75" customHeight="1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15.75" customHeight="1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15.75" customHeight="1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15.75" customHeight="1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15.75" customHeight="1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15.75" customHeight="1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15.75" customHeight="1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15.75" customHeight="1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15.75" customHeight="1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15.75" customHeight="1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15.75" customHeight="1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15.75" customHeight="1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15.75" customHeight="1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15.75" customHeight="1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15.75" customHeight="1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15.75" customHeight="1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15.75" customHeight="1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15.75" customHeight="1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15.75" customHeight="1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15.75" customHeight="1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15.75" customHeight="1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15.75" customHeight="1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15.75" customHeight="1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15.75" customHeight="1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15.75" customHeight="1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15.75" customHeight="1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15.75" customHeight="1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15.75" customHeight="1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15.75" customHeight="1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15.75" customHeight="1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15.75" customHeight="1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15.75" customHeight="1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15.75" customHeight="1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15.75" customHeight="1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15.75" customHeight="1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15.75" customHeight="1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15.75" customHeight="1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15.75" customHeight="1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15.75" customHeight="1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15.75" customHeight="1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15.75" customHeight="1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15.75" customHeight="1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15.75" customHeight="1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15.75" customHeight="1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15.75" customHeight="1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15.75" customHeight="1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15.75" customHeight="1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15.75" customHeight="1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15.75" customHeight="1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15.75" customHeight="1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15.75" customHeight="1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15.75" customHeight="1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15.75" customHeight="1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15.75" customHeight="1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15.75" customHeight="1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15.75" customHeight="1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15.75" customHeight="1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15.75" customHeight="1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15.75" customHeight="1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15.75" customHeight="1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15.75" customHeight="1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15.75" customHeight="1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15.75" customHeight="1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15.75" customHeight="1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15.75" customHeight="1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15.75" customHeight="1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15.75" customHeight="1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15.75" customHeight="1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15.75" customHeight="1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15.75" customHeight="1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15.75" customHeight="1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15.75" customHeight="1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15.75" customHeight="1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15.75" customHeight="1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15.75" customHeight="1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15.75" customHeight="1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15.75" customHeight="1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15.75" customHeight="1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15.75" customHeight="1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15.75" customHeight="1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15.75" customHeight="1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15.75" customHeight="1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15.75" customHeight="1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15.75" customHeight="1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15.75" customHeight="1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15.75" customHeight="1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15.75" customHeight="1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15.75" customHeight="1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15.75" customHeight="1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15.75" customHeight="1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15.75" customHeight="1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15.75" customHeight="1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15.75" customHeight="1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15.75" customHeight="1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15.75" customHeight="1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15.75" customHeight="1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15.75" customHeight="1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15.75" customHeight="1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15.75" customHeight="1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15.75" customHeight="1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15.75" customHeight="1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15.75" customHeight="1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15.75" customHeight="1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15.75" customHeight="1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15.75" customHeight="1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15.75" customHeight="1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15.75" customHeight="1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15.75" customHeight="1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15.75" customHeight="1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15.75" customHeight="1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15.75" customHeight="1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15.75" customHeight="1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15.75" customHeight="1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15.75" customHeight="1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15.75" customHeight="1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15.75" customHeight="1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15.75" customHeight="1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15.75" customHeight="1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15.75" customHeight="1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15.75" customHeight="1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15.75" customHeight="1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15.75" customHeight="1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15.75" customHeight="1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15.75" customHeight="1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15.75" customHeight="1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15.75" customHeight="1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15.75" customHeight="1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15.75" customHeight="1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15.75" customHeight="1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15.75" customHeight="1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15.75" customHeight="1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15.75" customHeight="1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15.75" customHeight="1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15.75" customHeight="1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15.75" customHeight="1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15.75" customHeight="1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15.75" customHeight="1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15.75" customHeight="1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15.75" customHeight="1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15.75" customHeight="1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15.75" customHeight="1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15.75" customHeight="1" x14ac:dyDescent="0.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15.75" customHeight="1" x14ac:dyDescent="0.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</sheetData>
  <mergeCells count="8">
    <mergeCell ref="A1:Q1"/>
    <mergeCell ref="A2:AD2"/>
    <mergeCell ref="A12:J12"/>
    <mergeCell ref="O12:V12"/>
    <mergeCell ref="W12:X12"/>
    <mergeCell ref="K12:N12"/>
    <mergeCell ref="A3:A6"/>
    <mergeCell ref="B3:B5"/>
  </mergeCells>
  <phoneticPr fontId="70" type="noConversion"/>
  <conditionalFormatting sqref="C2:D2 B3:B10 C4:C10">
    <cfRule type="cellIs" dxfId="19" priority="1" operator="equal">
      <formula>"低"</formula>
    </cfRule>
  </conditionalFormatting>
  <conditionalFormatting sqref="C2:D2 B3:B10 C4:C10">
    <cfRule type="cellIs" dxfId="18" priority="2" operator="equal">
      <formula>"中"</formula>
    </cfRule>
  </conditionalFormatting>
  <conditionalFormatting sqref="C2:D2 B3:B10 C4:C10">
    <cfRule type="cellIs" dxfId="17" priority="3" operator="equal">
      <formula>"高"</formula>
    </cfRule>
  </conditionalFormatting>
  <conditionalFormatting sqref="J2:N2">
    <cfRule type="cellIs" dxfId="16" priority="4" operator="equal">
      <formula>"中"</formula>
    </cfRule>
  </conditionalFormatting>
  <conditionalFormatting sqref="J2:N2">
    <cfRule type="cellIs" dxfId="15" priority="5" operator="equal">
      <formula>"低"</formula>
    </cfRule>
  </conditionalFormatting>
  <conditionalFormatting sqref="C14:C25">
    <cfRule type="cellIs" dxfId="14" priority="6" operator="equal">
      <formula>"低"</formula>
    </cfRule>
  </conditionalFormatting>
  <conditionalFormatting sqref="C14:C25">
    <cfRule type="cellIs" dxfId="13" priority="7" operator="equal">
      <formula>"中"</formula>
    </cfRule>
  </conditionalFormatting>
  <conditionalFormatting sqref="C14:C25">
    <cfRule type="cellIs" dxfId="12" priority="8" operator="equal">
      <formula>"高"</formula>
    </cfRule>
  </conditionalFormatting>
  <conditionalFormatting sqref="K14">
    <cfRule type="cellIs" dxfId="11" priority="9" operator="equal">
      <formula>"验证通过"</formula>
    </cfRule>
  </conditionalFormatting>
  <conditionalFormatting sqref="K14">
    <cfRule type="cellIs" dxfId="10" priority="10" operator="equal">
      <formula>"验证未通过"</formula>
    </cfRule>
  </conditionalFormatting>
  <conditionalFormatting sqref="K14">
    <cfRule type="cellIs" dxfId="9" priority="11" operator="equal">
      <formula>"未验证"</formula>
    </cfRule>
  </conditionalFormatting>
  <conditionalFormatting sqref="K15:N15">
    <cfRule type="cellIs" dxfId="8" priority="12" operator="equal">
      <formula>"验证通过"</formula>
    </cfRule>
  </conditionalFormatting>
  <conditionalFormatting sqref="K15:N15">
    <cfRule type="cellIs" dxfId="7" priority="13" operator="equal">
      <formula>"验证未通过"</formula>
    </cfRule>
  </conditionalFormatting>
  <conditionalFormatting sqref="K15:N15">
    <cfRule type="cellIs" dxfId="6" priority="14" operator="equal">
      <formula>"未验证"</formula>
    </cfRule>
  </conditionalFormatting>
  <conditionalFormatting sqref="K17:N21">
    <cfRule type="cellIs" dxfId="5" priority="15" operator="equal">
      <formula>"验证通过"</formula>
    </cfRule>
  </conditionalFormatting>
  <conditionalFormatting sqref="K17:N21">
    <cfRule type="cellIs" dxfId="4" priority="16" operator="equal">
      <formula>"验证未通过"</formula>
    </cfRule>
  </conditionalFormatting>
  <conditionalFormatting sqref="K17:N21">
    <cfRule type="cellIs" dxfId="3" priority="17" operator="equal">
      <formula>"未验证"</formula>
    </cfRule>
  </conditionalFormatting>
  <conditionalFormatting sqref="K23:N26">
    <cfRule type="cellIs" dxfId="2" priority="18" operator="equal">
      <formula>"验证通过"</formula>
    </cfRule>
  </conditionalFormatting>
  <conditionalFormatting sqref="K23:N26">
    <cfRule type="cellIs" dxfId="1" priority="19" operator="equal">
      <formula>"验证未通过"</formula>
    </cfRule>
  </conditionalFormatting>
  <conditionalFormatting sqref="K23:N26">
    <cfRule type="cellIs" dxfId="0" priority="20" operator="equal">
      <formula>"未验证"</formula>
    </cfRule>
  </conditionalFormatting>
  <dataValidations count="2">
    <dataValidation type="list" allowBlank="1" sqref="K14:K26">
      <formula1>"未验证,验证通过,验证未通过"</formula1>
    </dataValidation>
    <dataValidation type="list" allowBlank="1" showErrorMessage="1" sqref="C14:C25">
      <formula1>"高,中,低"</formula1>
    </dataValidation>
  </dataValidations>
  <hyperlinks>
    <hyperlink ref="O15" r:id="rId1" location="16-she-zhi-fang-wen-yong-hu-ji-bian-liang-visitorset"/>
    <hyperlink ref="Q15" r:id="rId2" location="setvisitor"/>
    <hyperlink ref="S15" r:id="rId3" location="setvisitor"/>
    <hyperlink ref="U15" r:id="rId4" location="fang-wen-yong-hu-bian-liang"/>
  </hyperlinks>
  <pageMargins left="0.5" right="0.5" top="0.75" bottom="0.75" header="0" footer="0"/>
  <pageSetup orientation="portrait"/>
  <headerFooter>
    <oddFooter>&amp;C000000&amp;P</oddFooter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介绍</vt:lpstr>
      <vt:lpstr>埋点事件+事件级变量</vt:lpstr>
      <vt:lpstr>登录用户id+变量</vt:lpstr>
      <vt:lpstr>转化变量</vt:lpstr>
      <vt:lpstr>页面级变量</vt:lpstr>
      <vt:lpstr>访问用户变量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xuelei</dc:creator>
  <cp:lastModifiedBy>Microsoft Office 用户</cp:lastModifiedBy>
  <dcterms:created xsi:type="dcterms:W3CDTF">2019-05-31T10:15:51Z</dcterms:created>
  <dcterms:modified xsi:type="dcterms:W3CDTF">2019-11-20T07:14:39Z</dcterms:modified>
</cp:coreProperties>
</file>