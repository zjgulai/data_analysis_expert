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960" activeTab="1"/>
  </bookViews>
  <sheets>
    <sheet name="数据表" sheetId="6" r:id="rId1"/>
    <sheet name="指标体系" sheetId="5" r:id="rId2"/>
    <sheet name="整体概览-实时统计" sheetId="1" r:id="rId3"/>
    <sheet name="整体概览-整体趋势" sheetId="2" r:id="rId4"/>
    <sheet name="事件分析" sheetId="3" r:id="rId5"/>
    <sheet name="漏斗分析" sheetId="4" r:id="rId6"/>
    <sheet name="属性分析" sheetId="7" r:id="rId7"/>
  </sheets>
  <calcPr calcId="144525"/>
</workbook>
</file>

<file path=xl/sharedStrings.xml><?xml version="1.0" encoding="utf-8"?>
<sst xmlns="http://schemas.openxmlformats.org/spreadsheetml/2006/main" count="304">
  <si>
    <t>明细表</t>
  </si>
  <si>
    <t>表名</t>
  </si>
  <si>
    <t>英文字段</t>
  </si>
  <si>
    <t>中文字段</t>
  </si>
  <si>
    <t>备注</t>
  </si>
  <si>
    <t>维表</t>
  </si>
  <si>
    <t>用户人脸拍摄明细表</t>
  </si>
  <si>
    <t>stat_date</t>
  </si>
  <si>
    <t>统计日期</t>
  </si>
  <si>
    <t>系统时间</t>
  </si>
  <si>
    <t>商品信息维表</t>
  </si>
  <si>
    <t>product_id</t>
  </si>
  <si>
    <t>商品ID</t>
  </si>
  <si>
    <t>photo_user_id</t>
  </si>
  <si>
    <t>人脸照片/视频(用户ID)</t>
  </si>
  <si>
    <t>product_name</t>
  </si>
  <si>
    <t>商品名称</t>
  </si>
  <si>
    <t>shoot_time</t>
  </si>
  <si>
    <t>拍摄时间</t>
  </si>
  <si>
    <t>first_product_type</t>
  </si>
  <si>
    <t>商品一级分类</t>
  </si>
  <si>
    <t>stay_time</t>
  </si>
  <si>
    <t>停留时长</t>
  </si>
  <si>
    <t>second_product_type</t>
  </si>
  <si>
    <t>商品二级分类</t>
  </si>
  <si>
    <t>device_id</t>
  </si>
  <si>
    <t>拍摄设备ID</t>
  </si>
  <si>
    <t>procuct_price</t>
  </si>
  <si>
    <t>商品单价</t>
  </si>
  <si>
    <t>sex</t>
  </si>
  <si>
    <t>性别</t>
  </si>
  <si>
    <t>store_id</t>
  </si>
  <si>
    <t>店铺ID</t>
  </si>
  <si>
    <t>age</t>
  </si>
  <si>
    <t>年龄段</t>
  </si>
  <si>
    <t>store_name</t>
  </si>
  <si>
    <t>店铺名称</t>
  </si>
  <si>
    <t>注意：用户每次与摄像头交互一次，即会产生一条记录</t>
  </si>
  <si>
    <t>BS商品体验明细表</t>
  </si>
  <si>
    <t>人脸维表</t>
  </si>
  <si>
    <t>人脸照片</t>
  </si>
  <si>
    <t>bs_id</t>
  </si>
  <si>
    <t>BS货架ID</t>
  </si>
  <si>
    <t>user_id</t>
  </si>
  <si>
    <t>用户ID</t>
  </si>
  <si>
    <t>rfid_flag</t>
  </si>
  <si>
    <t>RFID标签编码</t>
  </si>
  <si>
    <t>start_time</t>
  </si>
  <si>
    <t>拿起时间</t>
  </si>
  <si>
    <t>人脸设备信息维表</t>
  </si>
  <si>
    <t>设备ID</t>
  </si>
  <si>
    <t>end_time</t>
  </si>
  <si>
    <t>放下时间</t>
  </si>
  <si>
    <t>device_name</t>
  </si>
  <si>
    <t>设备名称</t>
  </si>
  <si>
    <t>view_time</t>
  </si>
  <si>
    <t>体验时长</t>
  </si>
  <si>
    <t>放下-拿起</t>
  </si>
  <si>
    <t>device_locat</t>
  </si>
  <si>
    <t>设备位置</t>
  </si>
  <si>
    <t>go_app</t>
  </si>
  <si>
    <t>是否扫描二维码</t>
  </si>
  <si>
    <t>扫描进入APP商城</t>
  </si>
  <si>
    <t>load_date</t>
  </si>
  <si>
    <t>创建时间</t>
  </si>
  <si>
    <t>注意：用户每次与BS交互一次，即会产出一条记录</t>
  </si>
  <si>
    <t>BS设备信息维表</t>
  </si>
  <si>
    <t>设备展位</t>
  </si>
  <si>
    <t>说明：标黄的指标涉及到人数，现在的BS场景人数无法统计到，这些指标暂时不做统计</t>
  </si>
  <si>
    <t>通用指标体系</t>
  </si>
  <si>
    <t>类型</t>
  </si>
  <si>
    <t>指标名称</t>
  </si>
  <si>
    <t>计算方式</t>
  </si>
  <si>
    <t>数据来源</t>
  </si>
  <si>
    <t>时间维度</t>
  </si>
  <si>
    <t>地理维度</t>
  </si>
  <si>
    <t>解释</t>
  </si>
  <si>
    <t>用户行为</t>
  </si>
  <si>
    <t>访问人次</t>
  </si>
  <si>
    <t>直接统计</t>
  </si>
  <si>
    <t>人脸摄像头</t>
  </si>
  <si>
    <t>时、日、周、月、季、年</t>
  </si>
  <si>
    <t>BS位置、BS编号</t>
  </si>
  <si>
    <t>访问BS的用户，只要到过BS（抓到一次人脸）即算一次</t>
  </si>
  <si>
    <t>访问人数</t>
  </si>
  <si>
    <t>去重统计</t>
  </si>
  <si>
    <t>访问人次去重</t>
  </si>
  <si>
    <t>体验人次</t>
  </si>
  <si>
    <t>RFID埋点</t>
  </si>
  <si>
    <t>BS位置、BS编号、商品编号</t>
  </si>
  <si>
    <t>到访BS并体验（一个时间段内一个人拿起不同商品均记为一次）商品的人次</t>
  </si>
  <si>
    <t>体验人数</t>
  </si>
  <si>
    <t>体验人次去重</t>
  </si>
  <si>
    <t>扫码人次</t>
  </si>
  <si>
    <t>APP埋点</t>
  </si>
  <si>
    <t>用户浏览商品后扫描频幕上二维码人次</t>
  </si>
  <si>
    <t>扫码人数</t>
  </si>
  <si>
    <t>扫码人次去重</t>
  </si>
  <si>
    <t>加购人次</t>
  </si>
  <si>
    <t>扫码进入APP商城加购的人次</t>
  </si>
  <si>
    <t>加购人数</t>
  </si>
  <si>
    <t>扫码进入APP商城加购的人数</t>
  </si>
  <si>
    <t>购买人次</t>
  </si>
  <si>
    <t>扫码后跳转到APP商城购买的人次</t>
  </si>
  <si>
    <t>购买人数</t>
  </si>
  <si>
    <t>扫码后跳转到APP商城购买的人数</t>
  </si>
  <si>
    <t>退货人次</t>
  </si>
  <si>
    <t>购买后申请退货人次</t>
  </si>
  <si>
    <t>换货人次</t>
  </si>
  <si>
    <t>购买后申请换货人次</t>
  </si>
  <si>
    <t>商品体验</t>
  </si>
  <si>
    <t>商品体验人次</t>
  </si>
  <si>
    <t>被用户拿起的商品数量，不去重（一个时间段内一个人拿起几件商品就记为几次）</t>
  </si>
  <si>
    <t>商品体验总时长</t>
  </si>
  <si>
    <t>被用户拿起的商品体验总时长，不区分用户</t>
  </si>
  <si>
    <t>BS访问总时长</t>
  </si>
  <si>
    <t>访问BS的总时长，人脸拍摄到的时长加总</t>
  </si>
  <si>
    <t>平均商品体验数</t>
  </si>
  <si>
    <t>商品体验人次/访问人次</t>
  </si>
  <si>
    <t>每次访问，平均浏览多少件商品</t>
  </si>
  <si>
    <t>平均商品体验时长</t>
  </si>
  <si>
    <t>商品体验总时长/商品体验数</t>
  </si>
  <si>
    <t>被浏览的商品，平均浏览时长是多少</t>
  </si>
  <si>
    <t>平均访问时长</t>
  </si>
  <si>
    <t>BS访问总时长/访问人次</t>
  </si>
  <si>
    <t>每次访问，平均时长是多少</t>
  </si>
  <si>
    <t>新访问用户占比</t>
  </si>
  <si>
    <t>新增到访用户数/到访用户数</t>
  </si>
  <si>
    <t>了解产品吸客能力（新增到访用户数：指定时间内，拍摄到的人脸与人脸库比对，统计未在人脸库的数据；到访用户数：指定时间内，拍摄到的人脸数）</t>
  </si>
  <si>
    <t>事件/目标</t>
  </si>
  <si>
    <t>总事件数</t>
  </si>
  <si>
    <t>直接对各个事件总数求和</t>
  </si>
  <si>
    <t>具体项目事件不同，举例，BS项目事件有5个，分别是访问、体验、扫码、加购、购买</t>
  </si>
  <si>
    <t>平均每次访问事件数</t>
  </si>
  <si>
    <t>总事件数/访问人次</t>
  </si>
  <si>
    <t>每次访问的事件个数</t>
  </si>
  <si>
    <t>目标达成人次</t>
  </si>
  <si>
    <t>筛选统计</t>
  </si>
  <si>
    <t>筛选触发事件数大于等于2</t>
  </si>
  <si>
    <t>目标参与用户数</t>
  </si>
  <si>
    <t>达成目标的用户数</t>
  </si>
  <si>
    <t>收入</t>
  </si>
  <si>
    <t>总收入</t>
  </si>
  <si>
    <t>购买付款总计</t>
  </si>
  <si>
    <t>零售转化率</t>
  </si>
  <si>
    <t>购买人次/体验人次</t>
  </si>
  <si>
    <t>实时统计</t>
  </si>
  <si>
    <t>说明：</t>
  </si>
  <si>
    <t>（1）统计日期为当前日期，可设置1小时更新一次</t>
  </si>
  <si>
    <t>（2）涉及到加购、购买的指标，暂时先按全渠道统计</t>
  </si>
  <si>
    <t>（3）环比是今日和上日进行比较，同比是今日跟上月的同一日比较，如果当天是31日，则该天不统计同比</t>
  </si>
  <si>
    <t>BS监测</t>
  </si>
  <si>
    <t>今日|累计访问人次</t>
  </si>
  <si>
    <t>今日|累计体验人次</t>
  </si>
  <si>
    <t>今日|累计体验人数</t>
  </si>
  <si>
    <t>今日|累计新增体验人数</t>
  </si>
  <si>
    <t>2020-05-26 ~ 2020-05-26</t>
  </si>
  <si>
    <t>今日</t>
  </si>
  <si>
    <r>
      <rPr>
        <b/>
        <sz val="24"/>
        <color theme="1"/>
        <rFont val="宋体"/>
        <charset val="134"/>
      </rPr>
      <t>484</t>
    </r>
    <r>
      <rPr>
        <sz val="12"/>
        <color theme="1"/>
        <rFont val="等线"/>
        <charset val="134"/>
      </rPr>
      <t>次</t>
    </r>
  </si>
  <si>
    <r>
      <rPr>
        <b/>
        <sz val="24"/>
        <color theme="1"/>
        <rFont val="宋体"/>
        <charset val="134"/>
      </rPr>
      <t>410</t>
    </r>
    <r>
      <rPr>
        <sz val="12"/>
        <color theme="1"/>
        <rFont val="等线"/>
        <charset val="134"/>
      </rPr>
      <t>次</t>
    </r>
  </si>
  <si>
    <r>
      <rPr>
        <b/>
        <sz val="24"/>
        <color theme="1"/>
        <rFont val="宋体"/>
        <charset val="134"/>
      </rPr>
      <t>200</t>
    </r>
    <r>
      <rPr>
        <b/>
        <sz val="12"/>
        <color theme="1"/>
        <rFont val="宋体"/>
        <charset val="134"/>
      </rPr>
      <t>人</t>
    </r>
  </si>
  <si>
    <r>
      <rPr>
        <b/>
        <sz val="24"/>
        <color theme="1"/>
        <rFont val="宋体"/>
        <charset val="134"/>
      </rPr>
      <t>110</t>
    </r>
    <r>
      <rPr>
        <sz val="12"/>
        <color theme="1"/>
        <rFont val="等线"/>
        <charset val="134"/>
      </rPr>
      <t>次</t>
    </r>
  </si>
  <si>
    <t>环比 +10 %</t>
  </si>
  <si>
    <t>同比 -10 %</t>
  </si>
  <si>
    <t>今日|累计事件人次</t>
  </si>
  <si>
    <t>今日|累计访问时长</t>
  </si>
  <si>
    <r>
      <rPr>
        <b/>
        <sz val="24"/>
        <color theme="1"/>
        <rFont val="宋体"/>
        <charset val="134"/>
      </rPr>
      <t>340</t>
    </r>
    <r>
      <rPr>
        <sz val="12"/>
        <color theme="1"/>
        <rFont val="等线"/>
        <charset val="134"/>
      </rPr>
      <t>次</t>
    </r>
  </si>
  <si>
    <t>商品监测</t>
  </si>
  <si>
    <t>今日|累计商品体验人次</t>
  </si>
  <si>
    <t>今日|累计商品体验数量</t>
  </si>
  <si>
    <t>今日|累计加购人次</t>
  </si>
  <si>
    <t>今日|累计购买人次</t>
  </si>
  <si>
    <r>
      <rPr>
        <b/>
        <sz val="24"/>
        <color theme="1"/>
        <rFont val="宋体"/>
        <charset val="134"/>
      </rPr>
      <t>650</t>
    </r>
    <r>
      <rPr>
        <sz val="12"/>
        <color theme="1"/>
        <rFont val="等线"/>
        <charset val="134"/>
      </rPr>
      <t>次</t>
    </r>
  </si>
  <si>
    <r>
      <rPr>
        <b/>
        <sz val="24"/>
        <color theme="1"/>
        <rFont val="宋体"/>
        <charset val="134"/>
      </rPr>
      <t>340</t>
    </r>
    <r>
      <rPr>
        <sz val="12"/>
        <color theme="1"/>
        <rFont val="宋体"/>
        <charset val="134"/>
      </rPr>
      <t>件</t>
    </r>
  </si>
  <si>
    <r>
      <rPr>
        <b/>
        <sz val="24"/>
        <color theme="1"/>
        <rFont val="宋体"/>
        <charset val="134"/>
      </rPr>
      <t>450</t>
    </r>
    <r>
      <rPr>
        <sz val="12"/>
        <color theme="1"/>
        <rFont val="等线"/>
        <charset val="134"/>
      </rPr>
      <t>次</t>
    </r>
  </si>
  <si>
    <r>
      <rPr>
        <b/>
        <sz val="24"/>
        <color theme="1"/>
        <rFont val="宋体"/>
        <charset val="134"/>
      </rPr>
      <t>150</t>
    </r>
    <r>
      <rPr>
        <sz val="12"/>
        <color theme="1"/>
        <rFont val="等线"/>
        <charset val="134"/>
      </rPr>
      <t>次</t>
    </r>
  </si>
  <si>
    <t>今日|累计商品购买量</t>
  </si>
  <si>
    <t>今日|累计扫码人次</t>
  </si>
  <si>
    <t>用户属性监测</t>
  </si>
  <si>
    <t>今日|体验用户性别分布</t>
  </si>
  <si>
    <t>今日|体验用户年龄分布</t>
  </si>
  <si>
    <t>用户数（人次）</t>
  </si>
  <si>
    <t>占比</t>
  </si>
  <si>
    <t>年龄</t>
  </si>
  <si>
    <t>男</t>
  </si>
  <si>
    <t>18岁以下</t>
  </si>
  <si>
    <t>女</t>
  </si>
  <si>
    <t>【18,  24）</t>
  </si>
  <si>
    <t>【24,  30）</t>
  </si>
  <si>
    <t>【30,  40）</t>
  </si>
  <si>
    <t>【40,  50）</t>
  </si>
  <si>
    <t>50岁以上</t>
  </si>
  <si>
    <t>整体趋势</t>
  </si>
  <si>
    <t>（1）统计截止日期为当前日期的上一日，可设置每天更新一次</t>
  </si>
  <si>
    <t>（2）可设置时间范围，默认为近7天和近30天</t>
  </si>
  <si>
    <t>时间范围（可设置）：默认近7天</t>
  </si>
  <si>
    <t>时间范围（可设置：默认近30天</t>
  </si>
  <si>
    <t>时间范围（可设置：默认近7天</t>
  </si>
  <si>
    <t>7日|累计访问人次</t>
  </si>
  <si>
    <t>30日|累计访问人次</t>
  </si>
  <si>
    <t>7日|累计体验人次</t>
  </si>
  <si>
    <t>30日|累计体验人次</t>
  </si>
  <si>
    <t>2020-05-19 ~ 2020-05-25</t>
  </si>
  <si>
    <t>2020-04-26 ~ 2020-05-25</t>
  </si>
  <si>
    <t>合计</t>
  </si>
  <si>
    <r>
      <rPr>
        <b/>
        <sz val="24"/>
        <color theme="1"/>
        <rFont val="宋体"/>
        <charset val="134"/>
      </rPr>
      <t>1484</t>
    </r>
    <r>
      <rPr>
        <sz val="12"/>
        <color theme="1"/>
        <rFont val="等线"/>
        <charset val="134"/>
      </rPr>
      <t>次</t>
    </r>
  </si>
  <si>
    <r>
      <rPr>
        <b/>
        <sz val="24"/>
        <color theme="1"/>
        <rFont val="宋体"/>
        <charset val="134"/>
      </rPr>
      <t>4400</t>
    </r>
    <r>
      <rPr>
        <sz val="12"/>
        <color theme="1"/>
        <rFont val="等线"/>
        <charset val="134"/>
      </rPr>
      <t>次</t>
    </r>
  </si>
  <si>
    <r>
      <rPr>
        <b/>
        <sz val="24"/>
        <color theme="1"/>
        <rFont val="宋体"/>
        <charset val="134"/>
      </rPr>
      <t>1000</t>
    </r>
    <r>
      <rPr>
        <sz val="12"/>
        <color theme="1"/>
        <rFont val="等线"/>
        <charset val="134"/>
      </rPr>
      <t>次</t>
    </r>
  </si>
  <si>
    <r>
      <rPr>
        <b/>
        <sz val="24"/>
        <color theme="1"/>
        <rFont val="宋体"/>
        <charset val="134"/>
      </rPr>
      <t>4000</t>
    </r>
    <r>
      <rPr>
        <sz val="12"/>
        <color theme="1"/>
        <rFont val="等线"/>
        <charset val="134"/>
      </rPr>
      <t>次</t>
    </r>
  </si>
  <si>
    <t>7日|累计货架体验人次</t>
  </si>
  <si>
    <t>30日|累计货架体验人次</t>
  </si>
  <si>
    <t>7日|累计扫码人次</t>
  </si>
  <si>
    <t>30日|累计扫码人次</t>
  </si>
  <si>
    <t>2020-05-19  ~ 2020-05-25</t>
  </si>
  <si>
    <t>7日|平均访问时长</t>
  </si>
  <si>
    <t>30日|平均访问时长</t>
  </si>
  <si>
    <t>7日|平均每次访问事件数</t>
  </si>
  <si>
    <t>30日|平均每次访问事件数</t>
  </si>
  <si>
    <t>7日|累计商品体验人次</t>
  </si>
  <si>
    <t>30日|累计商品体验人次</t>
  </si>
  <si>
    <t>7日|累计购买人次</t>
  </si>
  <si>
    <t>30日|累计购买人次</t>
  </si>
  <si>
    <t>7日|累计商品体验数量</t>
  </si>
  <si>
    <t>30日|累计商品体验数量</t>
  </si>
  <si>
    <t>7日|累计购买数量</t>
  </si>
  <si>
    <t>30日|累计购买数量</t>
  </si>
  <si>
    <t>7日 | 总事件数趋势</t>
  </si>
  <si>
    <t>7日 | 平均访问事件数</t>
  </si>
  <si>
    <t>时间范围（可设置）:2020-05-19 ~ 2020-05-25</t>
  </si>
  <si>
    <t>日期</t>
  </si>
  <si>
    <t>平均访问事件数</t>
  </si>
  <si>
    <t>05-14</t>
  </si>
  <si>
    <t>05-15</t>
  </si>
  <si>
    <t>05-16</t>
  </si>
  <si>
    <t>05-17</t>
  </si>
  <si>
    <t>05-18</t>
  </si>
  <si>
    <t>05-19</t>
  </si>
  <si>
    <t>05-20</t>
  </si>
  <si>
    <t>事件分析</t>
  </si>
  <si>
    <t>1）可选择事件，比如访问、体验（拿起和放下）、扫码、加购、购买5个事件，可多选，默认访问</t>
  </si>
  <si>
    <t>2）可选择指标，比如人次、人数、人均人次、时长、人均时长，默认为总人次</t>
  </si>
  <si>
    <t>3）可设置分组维度，比如地理位置、BS货架ID，可多选，默认无</t>
  </si>
  <si>
    <t>4）可设定筛选条件，比如地理位置筛选、BS货架筛选、商品筛选，可多选，默认无</t>
  </si>
  <si>
    <t>5）设置时间范围，默认近三天</t>
  </si>
  <si>
    <t>各事件可设置维度和筛选条件见下表：</t>
  </si>
  <si>
    <t>事件</t>
  </si>
  <si>
    <t>指标</t>
  </si>
  <si>
    <t>维度</t>
  </si>
  <si>
    <t>筛选条件</t>
  </si>
  <si>
    <t>访问</t>
  </si>
  <si>
    <t>人次、时长、人均时长</t>
  </si>
  <si>
    <t>地理位置、BS货架</t>
  </si>
  <si>
    <t>体验</t>
  </si>
  <si>
    <t>人次</t>
  </si>
  <si>
    <t>地理位置、BS货架、商品ID</t>
  </si>
  <si>
    <t>扫码</t>
  </si>
  <si>
    <t>加购</t>
  </si>
  <si>
    <t>购买</t>
  </si>
  <si>
    <t>举例1：对单个事件（访问）的指标（总人次）进行分析</t>
  </si>
  <si>
    <t>选择事件：</t>
  </si>
  <si>
    <t>访问（默认）</t>
  </si>
  <si>
    <t>选择指标：</t>
  </si>
  <si>
    <t>总人次（默认）</t>
  </si>
  <si>
    <t>分组维度：</t>
  </si>
  <si>
    <t>无（默认）</t>
  </si>
  <si>
    <t>筛选条件：</t>
  </si>
  <si>
    <t>时间范围：</t>
  </si>
  <si>
    <t>近3日 2020-05-18 ~ 2020-05-20（默认）</t>
  </si>
  <si>
    <t>举例2：对多个事件（访问、体验）的指标（总人次）进行对比分析</t>
  </si>
  <si>
    <t>举例3：按地理位置维度分组，对单个事件（访问）的指标（总人次）进行对比分析</t>
  </si>
  <si>
    <t>地理位置</t>
  </si>
  <si>
    <t>春-中庭</t>
  </si>
  <si>
    <t>夏-中庭</t>
  </si>
  <si>
    <t>秋-中庭</t>
  </si>
  <si>
    <t>冬-中庭</t>
  </si>
  <si>
    <t>漏斗分析</t>
  </si>
  <si>
    <t>1）可选择已创建的漏斗，比如全局转化漏斗、线下转化漏斗，默认全局转化漏斗</t>
  </si>
  <si>
    <t>2）可设定筛选条件，比如地理位置筛选、BS货架筛选、商品筛选，默认无</t>
  </si>
  <si>
    <t>3）设置时间范围，默认当天</t>
  </si>
  <si>
    <t>例1：全局转化漏斗</t>
  </si>
  <si>
    <t>选择漏斗：</t>
  </si>
  <si>
    <t>全局转化（默认）</t>
  </si>
  <si>
    <t>当天（默认）</t>
  </si>
  <si>
    <t>转化率</t>
  </si>
  <si>
    <t>环比 +10%</t>
  </si>
  <si>
    <t>环比 +5%</t>
  </si>
  <si>
    <t>总转化率</t>
  </si>
  <si>
    <t>例2：线下转化漏斗</t>
  </si>
  <si>
    <t>线下转化（默认）</t>
  </si>
  <si>
    <t>例3：带筛选条件（特定BS货架）的线下转化漏斗</t>
  </si>
  <si>
    <t>BS货架ID = BS_A01</t>
  </si>
  <si>
    <t>属性分析</t>
  </si>
  <si>
    <t>暂时只看体验用户</t>
  </si>
  <si>
    <t>1）可设定筛选条件，比如地理位置筛选、BS货架筛选、商品筛选，默认无</t>
  </si>
  <si>
    <t>2）设置时间范围，默认近三天，截至到上一日</t>
  </si>
  <si>
    <t>例1：无条件筛选</t>
  </si>
  <si>
    <t>体验用户—性别分布</t>
  </si>
  <si>
    <t>体验用户—年龄分布</t>
  </si>
  <si>
    <t>【18, 24）</t>
  </si>
  <si>
    <t>【24, 30）</t>
  </si>
  <si>
    <t>【30, 40）</t>
  </si>
  <si>
    <t>【40, 50）</t>
  </si>
  <si>
    <t>例2：筛选特定商品</t>
  </si>
  <si>
    <t>商品SKU = A007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</si>
</sst>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76" formatCode="0.0%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57">
    <font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0"/>
      <color rgb="FFFF0000"/>
      <name val="等线"/>
      <charset val="134"/>
      <scheme val="minor"/>
    </font>
    <font>
      <sz val="11"/>
      <color theme="8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0"/>
      <color theme="1"/>
      <name val="宋体"/>
      <charset val="134"/>
    </font>
    <font>
      <sz val="10"/>
      <color theme="1"/>
      <name val="等线"/>
      <charset val="134"/>
      <scheme val="minor"/>
    </font>
    <font>
      <sz val="8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8"/>
      <color rgb="FFFF0000"/>
      <name val="等线"/>
      <charset val="134"/>
      <scheme val="minor"/>
    </font>
    <font>
      <b/>
      <sz val="12"/>
      <color theme="4"/>
      <name val="等线"/>
      <charset val="134"/>
      <scheme val="minor"/>
    </font>
    <font>
      <b/>
      <sz val="8"/>
      <color theme="4"/>
      <name val="等线"/>
      <charset val="134"/>
      <scheme val="minor"/>
    </font>
    <font>
      <sz val="10"/>
      <name val="等线"/>
      <charset val="134"/>
      <scheme val="minor"/>
    </font>
    <font>
      <sz val="11"/>
      <name val="等线"/>
      <charset val="134"/>
      <scheme val="minor"/>
    </font>
    <font>
      <sz val="13"/>
      <color theme="1"/>
      <name val="等线"/>
      <charset val="134"/>
      <scheme val="minor"/>
    </font>
    <font>
      <sz val="10"/>
      <color rgb="FFFF0000"/>
      <name val="等线"/>
      <charset val="134"/>
      <scheme val="minor"/>
    </font>
    <font>
      <sz val="10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color theme="1"/>
      <name val="宋体"/>
      <charset val="134"/>
    </font>
    <font>
      <sz val="14"/>
      <color theme="1"/>
      <name val="宋体"/>
      <charset val="134"/>
    </font>
    <font>
      <b/>
      <sz val="12"/>
      <color theme="1"/>
      <name val="宋体"/>
      <charset val="134"/>
    </font>
    <font>
      <sz val="24"/>
      <color theme="1"/>
      <name val="等线"/>
      <charset val="134"/>
      <scheme val="minor"/>
    </font>
    <font>
      <b/>
      <sz val="24"/>
      <color theme="1"/>
      <name val="宋体"/>
      <charset val="134"/>
    </font>
    <font>
      <b/>
      <sz val="13"/>
      <color theme="1"/>
      <name val="等线"/>
      <charset val="134"/>
      <scheme val="minor"/>
    </font>
    <font>
      <b/>
      <sz val="11"/>
      <color rgb="FFFF0000"/>
      <name val="宋体"/>
      <charset val="134"/>
    </font>
    <font>
      <sz val="9"/>
      <color rgb="FFFF0000"/>
      <name val="等线"/>
      <charset val="134"/>
      <scheme val="minor"/>
    </font>
    <font>
      <sz val="16"/>
      <name val="等线"/>
      <charset val="134"/>
      <scheme val="minor"/>
    </font>
    <font>
      <sz val="16"/>
      <name val="等线"/>
      <charset val="134"/>
      <scheme val="minor"/>
    </font>
    <font>
      <sz val="11"/>
      <color theme="0"/>
      <name val="微软雅黑"/>
      <charset val="134"/>
    </font>
    <font>
      <sz val="9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微软雅黑"/>
      <charset val="134"/>
    </font>
    <font>
      <sz val="9"/>
      <color rgb="FF7030A0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  <font>
      <sz val="12"/>
      <color theme="1"/>
      <name val="等线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4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theme="0"/>
      </bottom>
      <diagonal/>
    </border>
    <border>
      <left/>
      <right style="thin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  <border>
      <left/>
      <right style="thin">
        <color auto="1"/>
      </right>
      <top style="thin">
        <color theme="0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39" fillId="14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55" fillId="36" borderId="46" applyNumberFormat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44" fontId="41" fillId="0" borderId="0" applyFont="0" applyFill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53" fillId="23" borderId="46" applyNumberFormat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46" fillId="0" borderId="44" applyNumberFormat="0" applyFill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51" fillId="27" borderId="45" applyNumberFormat="0" applyAlignment="0" applyProtection="0">
      <alignment vertical="center"/>
    </xf>
    <xf numFmtId="0" fontId="45" fillId="23" borderId="43" applyNumberFormat="0" applyAlignment="0" applyProtection="0">
      <alignment vertical="center"/>
    </xf>
    <xf numFmtId="0" fontId="49" fillId="0" borderId="40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1" fillId="20" borderId="42" applyNumberFormat="0" applyFon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42" fillId="0" borderId="41" applyNumberFormat="0" applyFill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6" fillId="0" borderId="39" applyNumberFormat="0" applyFill="0" applyAlignment="0" applyProtection="0">
      <alignment vertical="center"/>
    </xf>
  </cellStyleXfs>
  <cellXfs count="14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2" xfId="0" applyFont="1" applyBorder="1"/>
    <xf numFmtId="0" fontId="0" fillId="0" borderId="3" xfId="0" applyBorder="1"/>
    <xf numFmtId="0" fontId="0" fillId="0" borderId="2" xfId="0" applyBorder="1"/>
    <xf numFmtId="0" fontId="5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6" fillId="0" borderId="10" xfId="0" applyFont="1" applyBorder="1" applyAlignment="1">
      <alignment horizontal="center"/>
    </xf>
    <xf numFmtId="176" fontId="6" fillId="0" borderId="10" xfId="9" applyNumberFormat="1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5" fillId="0" borderId="17" xfId="0" applyFon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2" xfId="0" applyFont="1" applyBorder="1"/>
    <xf numFmtId="0" fontId="3" fillId="0" borderId="2" xfId="0" applyFont="1" applyBorder="1"/>
    <xf numFmtId="0" fontId="0" fillId="0" borderId="4" xfId="0" applyBorder="1"/>
    <xf numFmtId="0" fontId="7" fillId="0" borderId="5" xfId="0" applyFont="1" applyBorder="1"/>
    <xf numFmtId="0" fontId="8" fillId="0" borderId="5" xfId="0" applyFont="1" applyBorder="1"/>
    <xf numFmtId="0" fontId="7" fillId="0" borderId="1" xfId="0" applyFont="1" applyBorder="1"/>
    <xf numFmtId="0" fontId="8" fillId="0" borderId="1" xfId="0" applyFont="1" applyBorder="1"/>
    <xf numFmtId="0" fontId="0" fillId="0" borderId="24" xfId="0" applyBorder="1"/>
    <xf numFmtId="0" fontId="5" fillId="0" borderId="1" xfId="0" applyFont="1" applyBorder="1"/>
    <xf numFmtId="0" fontId="9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0" fillId="0" borderId="1" xfId="0" applyFont="1" applyBorder="1"/>
    <xf numFmtId="0" fontId="0" fillId="0" borderId="7" xfId="0" applyBorder="1" applyAlignment="1">
      <alignment horizontal="center"/>
    </xf>
    <xf numFmtId="0" fontId="3" fillId="0" borderId="23" xfId="0" applyFont="1" applyBorder="1"/>
    <xf numFmtId="0" fontId="0" fillId="0" borderId="25" xfId="0" applyBorder="1"/>
    <xf numFmtId="0" fontId="0" fillId="0" borderId="26" xfId="0" applyBorder="1"/>
    <xf numFmtId="0" fontId="0" fillId="0" borderId="1" xfId="0" applyBorder="1" applyAlignment="1">
      <alignment horizontal="left"/>
    </xf>
    <xf numFmtId="0" fontId="11" fillId="0" borderId="1" xfId="0" applyFont="1" applyBorder="1"/>
    <xf numFmtId="9" fontId="12" fillId="0" borderId="1" xfId="0" applyNumberFormat="1" applyFont="1" applyBorder="1" applyAlignment="1">
      <alignment horizontal="left"/>
    </xf>
    <xf numFmtId="0" fontId="13" fillId="0" borderId="1" xfId="0" applyFont="1" applyBorder="1"/>
    <xf numFmtId="9" fontId="12" fillId="0" borderId="8" xfId="0" applyNumberFormat="1" applyFont="1" applyBorder="1" applyAlignment="1">
      <alignment horizontal="left"/>
    </xf>
    <xf numFmtId="0" fontId="3" fillId="0" borderId="3" xfId="0" applyFont="1" applyBorder="1"/>
    <xf numFmtId="0" fontId="7" fillId="0" borderId="1" xfId="0" applyFont="1" applyFill="1" applyBorder="1"/>
    <xf numFmtId="0" fontId="2" fillId="0" borderId="2" xfId="0" applyFont="1" applyBorder="1"/>
    <xf numFmtId="0" fontId="14" fillId="0" borderId="27" xfId="0" applyFont="1" applyBorder="1"/>
    <xf numFmtId="0" fontId="14" fillId="0" borderId="28" xfId="0" applyFont="1" applyBorder="1"/>
    <xf numFmtId="0" fontId="4" fillId="0" borderId="1" xfId="0" applyFont="1" applyBorder="1"/>
    <xf numFmtId="0" fontId="15" fillId="0" borderId="1" xfId="0" applyFont="1" applyBorder="1"/>
    <xf numFmtId="0" fontId="16" fillId="0" borderId="17" xfId="0" applyFont="1" applyFill="1" applyBorder="1"/>
    <xf numFmtId="0" fontId="3" fillId="0" borderId="11" xfId="0" applyFont="1" applyFill="1" applyBorder="1"/>
    <xf numFmtId="0" fontId="8" fillId="0" borderId="11" xfId="0" applyFont="1" applyFill="1" applyBorder="1"/>
    <xf numFmtId="0" fontId="16" fillId="0" borderId="12" xfId="0" applyFont="1" applyFill="1" applyBorder="1"/>
    <xf numFmtId="0" fontId="3" fillId="0" borderId="1" xfId="0" applyFont="1" applyFill="1" applyBorder="1"/>
    <xf numFmtId="0" fontId="8" fillId="0" borderId="1" xfId="0" applyFont="1" applyFill="1" applyBorder="1"/>
    <xf numFmtId="0" fontId="16" fillId="0" borderId="12" xfId="0" applyFont="1" applyBorder="1"/>
    <xf numFmtId="0" fontId="0" fillId="0" borderId="29" xfId="0" applyBorder="1"/>
    <xf numFmtId="0" fontId="16" fillId="0" borderId="4" xfId="0" applyFont="1" applyBorder="1"/>
    <xf numFmtId="0" fontId="17" fillId="0" borderId="5" xfId="0" applyFont="1" applyBorder="1"/>
    <xf numFmtId="0" fontId="16" fillId="0" borderId="6" xfId="0" applyFont="1" applyBorder="1"/>
    <xf numFmtId="0" fontId="18" fillId="0" borderId="5" xfId="0" applyFont="1" applyBorder="1"/>
    <xf numFmtId="0" fontId="14" fillId="0" borderId="23" xfId="0" applyFont="1" applyBorder="1"/>
    <xf numFmtId="0" fontId="0" fillId="0" borderId="11" xfId="0" applyFill="1" applyBorder="1"/>
    <xf numFmtId="0" fontId="0" fillId="0" borderId="1" xfId="0" applyFill="1" applyBorder="1"/>
    <xf numFmtId="0" fontId="0" fillId="0" borderId="0" xfId="0" applyBorder="1"/>
    <xf numFmtId="0" fontId="19" fillId="2" borderId="1" xfId="0" applyFont="1" applyFill="1" applyBorder="1"/>
    <xf numFmtId="0" fontId="20" fillId="0" borderId="1" xfId="0" applyFont="1" applyBorder="1"/>
    <xf numFmtId="0" fontId="21" fillId="0" borderId="1" xfId="0" applyFont="1" applyBorder="1"/>
    <xf numFmtId="0" fontId="22" fillId="2" borderId="1" xfId="0" applyFont="1" applyFill="1" applyBorder="1"/>
    <xf numFmtId="0" fontId="18" fillId="2" borderId="1" xfId="0" applyFont="1" applyFill="1" applyBorder="1"/>
    <xf numFmtId="0" fontId="23" fillId="2" borderId="1" xfId="0" applyFont="1" applyFill="1" applyBorder="1"/>
    <xf numFmtId="0" fontId="24" fillId="2" borderId="1" xfId="0" applyFont="1" applyFill="1" applyBorder="1"/>
    <xf numFmtId="0" fontId="7" fillId="0" borderId="3" xfId="0" applyFont="1" applyBorder="1"/>
    <xf numFmtId="0" fontId="25" fillId="0" borderId="4" xfId="0" applyFont="1" applyBorder="1" applyAlignment="1">
      <alignment horizontal="left"/>
    </xf>
    <xf numFmtId="0" fontId="0" fillId="0" borderId="27" xfId="0" applyBorder="1" applyAlignment="1">
      <alignment horizontal="center"/>
    </xf>
    <xf numFmtId="0" fontId="20" fillId="3" borderId="1" xfId="0" applyFont="1" applyFill="1" applyBorder="1"/>
    <xf numFmtId="0" fontId="22" fillId="4" borderId="1" xfId="0" applyFont="1" applyFill="1" applyBorder="1"/>
    <xf numFmtId="0" fontId="18" fillId="4" borderId="1" xfId="0" applyFont="1" applyFill="1" applyBorder="1"/>
    <xf numFmtId="0" fontId="23" fillId="4" borderId="1" xfId="0" applyFont="1" applyFill="1" applyBorder="1"/>
    <xf numFmtId="0" fontId="24" fillId="4" borderId="1" xfId="0" applyFont="1" applyFill="1" applyBorder="1"/>
    <xf numFmtId="0" fontId="0" fillId="0" borderId="2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26" fillId="0" borderId="1" xfId="0" applyFont="1" applyBorder="1"/>
    <xf numFmtId="0" fontId="22" fillId="0" borderId="1" xfId="0" applyFont="1" applyBorder="1"/>
    <xf numFmtId="0" fontId="22" fillId="5" borderId="1" xfId="0" applyFont="1" applyFill="1" applyBorder="1"/>
    <xf numFmtId="176" fontId="0" fillId="0" borderId="27" xfId="9" applyNumberFormat="1" applyFont="1" applyBorder="1" applyAlignment="1"/>
    <xf numFmtId="176" fontId="0" fillId="0" borderId="0" xfId="9" applyNumberFormat="1" applyFont="1" applyBorder="1" applyAlignment="1"/>
    <xf numFmtId="0" fontId="0" fillId="0" borderId="27" xfId="0" applyBorder="1"/>
    <xf numFmtId="0" fontId="27" fillId="0" borderId="0" xfId="0" applyFont="1"/>
    <xf numFmtId="0" fontId="28" fillId="6" borderId="34" xfId="0" applyFont="1" applyFill="1" applyBorder="1" applyAlignment="1">
      <alignment horizontal="center"/>
    </xf>
    <xf numFmtId="0" fontId="29" fillId="6" borderId="34" xfId="0" applyFont="1" applyFill="1" applyBorder="1" applyAlignment="1">
      <alignment horizontal="center"/>
    </xf>
    <xf numFmtId="0" fontId="30" fillId="7" borderId="35" xfId="0" applyFont="1" applyFill="1" applyBorder="1" applyAlignment="1">
      <alignment horizontal="center"/>
    </xf>
    <xf numFmtId="0" fontId="15" fillId="8" borderId="36" xfId="0" applyFont="1" applyFill="1" applyBorder="1" applyAlignment="1">
      <alignment horizontal="center" vertical="center"/>
    </xf>
    <xf numFmtId="0" fontId="31" fillId="6" borderId="35" xfId="0" applyFont="1" applyFill="1" applyBorder="1"/>
    <xf numFmtId="0" fontId="15" fillId="8" borderId="37" xfId="0" applyFont="1" applyFill="1" applyBorder="1" applyAlignment="1">
      <alignment horizontal="center" vertical="center"/>
    </xf>
    <xf numFmtId="0" fontId="31" fillId="5" borderId="35" xfId="0" applyFont="1" applyFill="1" applyBorder="1"/>
    <xf numFmtId="0" fontId="32" fillId="8" borderId="35" xfId="0" applyFont="1" applyFill="1" applyBorder="1"/>
    <xf numFmtId="0" fontId="32" fillId="5" borderId="35" xfId="0" applyFont="1" applyFill="1" applyBorder="1"/>
    <xf numFmtId="0" fontId="15" fillId="8" borderId="38" xfId="0" applyFont="1" applyFill="1" applyBorder="1" applyAlignment="1">
      <alignment horizontal="center" vertical="center"/>
    </xf>
    <xf numFmtId="0" fontId="33" fillId="9" borderId="36" xfId="0" applyFont="1" applyFill="1" applyBorder="1" applyAlignment="1">
      <alignment horizontal="center" vertical="center"/>
    </xf>
    <xf numFmtId="0" fontId="32" fillId="9" borderId="35" xfId="0" applyFont="1" applyFill="1" applyBorder="1"/>
    <xf numFmtId="0" fontId="33" fillId="9" borderId="37" xfId="0" applyFont="1" applyFill="1" applyBorder="1" applyAlignment="1">
      <alignment horizontal="center" vertical="center"/>
    </xf>
    <xf numFmtId="0" fontId="33" fillId="9" borderId="38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32" fillId="0" borderId="35" xfId="0" applyFont="1" applyBorder="1"/>
    <xf numFmtId="0" fontId="0" fillId="0" borderId="37" xfId="0" applyBorder="1" applyAlignment="1">
      <alignment horizontal="center" vertical="center"/>
    </xf>
    <xf numFmtId="0" fontId="32" fillId="0" borderId="35" xfId="0" applyFont="1" applyFill="1" applyBorder="1"/>
    <xf numFmtId="0" fontId="0" fillId="0" borderId="38" xfId="0" applyBorder="1" applyAlignment="1">
      <alignment horizontal="center" vertical="center"/>
    </xf>
    <xf numFmtId="0" fontId="31" fillId="6" borderId="36" xfId="0" applyFont="1" applyFill="1" applyBorder="1" applyAlignment="1">
      <alignment horizontal="center" vertical="center"/>
    </xf>
    <xf numFmtId="0" fontId="31" fillId="6" borderId="37" xfId="0" applyFont="1" applyFill="1" applyBorder="1" applyAlignment="1">
      <alignment horizontal="center" vertical="center"/>
    </xf>
    <xf numFmtId="0" fontId="31" fillId="6" borderId="38" xfId="0" applyFont="1" applyFill="1" applyBorder="1" applyAlignment="1">
      <alignment horizontal="center" vertical="center"/>
    </xf>
    <xf numFmtId="0" fontId="31" fillId="9" borderId="36" xfId="0" applyFont="1" applyFill="1" applyBorder="1" applyAlignment="1">
      <alignment horizontal="center" vertical="center"/>
    </xf>
    <xf numFmtId="0" fontId="32" fillId="9" borderId="36" xfId="0" applyFont="1" applyFill="1" applyBorder="1" applyAlignment="1">
      <alignment horizontal="center" vertical="center"/>
    </xf>
    <xf numFmtId="0" fontId="31" fillId="9" borderId="37" xfId="0" applyFont="1" applyFill="1" applyBorder="1" applyAlignment="1">
      <alignment horizontal="center" vertical="center"/>
    </xf>
    <xf numFmtId="0" fontId="32" fillId="9" borderId="38" xfId="0" applyFont="1" applyFill="1" applyBorder="1" applyAlignment="1">
      <alignment horizontal="center" vertical="center"/>
    </xf>
    <xf numFmtId="0" fontId="32" fillId="9" borderId="37" xfId="0" applyFont="1" applyFill="1" applyBorder="1" applyAlignment="1">
      <alignment horizontal="center" vertical="center"/>
    </xf>
    <xf numFmtId="0" fontId="31" fillId="9" borderId="38" xfId="0" applyFont="1" applyFill="1" applyBorder="1" applyAlignment="1">
      <alignment horizontal="center" vertical="center"/>
    </xf>
    <xf numFmtId="0" fontId="31" fillId="0" borderId="36" xfId="0" applyFont="1" applyFill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0" fontId="31" fillId="0" borderId="37" xfId="0" applyFont="1" applyFill="1" applyBorder="1" applyAlignment="1">
      <alignment horizontal="center" vertical="center"/>
    </xf>
    <xf numFmtId="0" fontId="32" fillId="0" borderId="37" xfId="0" applyFont="1" applyBorder="1" applyAlignment="1">
      <alignment horizontal="center" vertical="center"/>
    </xf>
    <xf numFmtId="0" fontId="32" fillId="0" borderId="38" xfId="0" applyFont="1" applyBorder="1" applyAlignment="1">
      <alignment horizontal="center" vertical="center"/>
    </xf>
    <xf numFmtId="0" fontId="31" fillId="0" borderId="38" xfId="0" applyFont="1" applyFill="1" applyBorder="1" applyAlignment="1">
      <alignment horizontal="center" vertical="center"/>
    </xf>
    <xf numFmtId="0" fontId="0" fillId="0" borderId="35" xfId="0" applyBorder="1"/>
    <xf numFmtId="0" fontId="1" fillId="0" borderId="0" xfId="0" applyFont="1"/>
    <xf numFmtId="0" fontId="34" fillId="10" borderId="35" xfId="0" applyFont="1" applyFill="1" applyBorder="1" applyAlignment="1">
      <alignment horizont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35" fillId="0" borderId="0" xfId="0" applyFont="1"/>
    <xf numFmtId="0" fontId="0" fillId="5" borderId="35" xfId="0" applyFill="1" applyBorder="1"/>
    <xf numFmtId="0" fontId="5" fillId="0" borderId="0" xfId="0" applyFont="1" applyBorder="1" applyAlignment="1">
      <alignment vertical="center"/>
    </xf>
    <xf numFmtId="0" fontId="0" fillId="0" borderId="27" xfId="0" applyBorder="1" applyAlignment="1" quotePrefix="1">
      <alignment horizontal="center"/>
    </xf>
    <xf numFmtId="0" fontId="6" fillId="0" borderId="10" xfId="0" applyFont="1" applyBorder="1" applyAlignment="1" quotePrefix="1">
      <alignment horizont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mruColors>
      <color rgb="00DDDDD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zh-CN" alt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性别分布</a:t>
            </a:r>
            <a:endParaRPr lang="zh-CN" altLang="en-US" sz="11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23647031619874"/>
          <c:y val="0.194628771342939"/>
          <c:w val="0.356306014686945"/>
          <c:h val="0.749763008273365"/>
        </c:manualLayout>
      </c:layout>
      <c:doughnutChart>
        <c:varyColors val="1"/>
        <c:ser>
          <c:idx val="0"/>
          <c:order val="0"/>
          <c:tx>
            <c:strRef>
              <c:f>'整体概览-实时统计'!$E$52</c:f>
              <c:strCache>
                <c:ptCount val="1"/>
                <c:pt idx="0">
                  <c:v>占比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666666333375161"/>
                  <c:y val="-0.05560822038369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730158365125177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'整体概览-实时统计'!$C$53:$C$54</c:f>
              <c:strCache>
                <c:ptCount val="2"/>
                <c:pt idx="0">
                  <c:v>男</c:v>
                </c:pt>
                <c:pt idx="1">
                  <c:v>女</c:v>
                </c:pt>
              </c:strCache>
            </c:strRef>
          </c:cat>
          <c:val>
            <c:numRef>
              <c:f>'整体概览-实时统计'!$E$53:$E$54</c:f>
              <c:numCache>
                <c:formatCode>0.0%</c:formatCode>
                <c:ptCount val="2"/>
                <c:pt idx="0">
                  <c:v>0.4</c:v>
                </c:pt>
                <c:pt idx="1">
                  <c:v>0.6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2356939104035"/>
          <c:y val="0.347823945249985"/>
          <c:w val="0.121847330789705"/>
          <c:h val="0.359717317582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100"/>
              <a:t>年龄分布</a:t>
            </a:r>
            <a:endParaRPr lang="zh-CN" altLang="en-US" sz="11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'整体概览-实时统计'!$I$52</c:f>
              <c:strCache>
                <c:ptCount val="1"/>
                <c:pt idx="0">
                  <c:v>占比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'整体概览-实时统计'!$G$53:$G$58</c:f>
              <c:strCache>
                <c:ptCount val="6"/>
                <c:pt idx="0" c:formatCode="0.0%">
                  <c:v>18岁以下</c:v>
                </c:pt>
                <c:pt idx="1" c:formatCode="0.0%">
                  <c:v>【18,  24）</c:v>
                </c:pt>
                <c:pt idx="2" c:formatCode="0.0%">
                  <c:v>【24,  30）</c:v>
                </c:pt>
                <c:pt idx="3" c:formatCode="0.0%">
                  <c:v>【30,  40）</c:v>
                </c:pt>
                <c:pt idx="4" c:formatCode="0.0%">
                  <c:v>【40,  50）</c:v>
                </c:pt>
                <c:pt idx="5" c:formatCode="0.0%">
                  <c:v>50岁以上</c:v>
                </c:pt>
              </c:strCache>
            </c:strRef>
          </c:cat>
          <c:val>
            <c:numRef>
              <c:f>'整体概览-实时统计'!$I$53:$I$58</c:f>
              <c:numCache>
                <c:formatCode>0.0%</c:formatCode>
                <c:ptCount val="6"/>
                <c:pt idx="0">
                  <c:v>0.24390243902439</c:v>
                </c:pt>
                <c:pt idx="1">
                  <c:v>0.365853658536585</c:v>
                </c:pt>
                <c:pt idx="2">
                  <c:v>0.24390243902439</c:v>
                </c:pt>
                <c:pt idx="3">
                  <c:v>0.0975609756097561</c:v>
                </c:pt>
                <c:pt idx="4">
                  <c:v>0.024390243902439</c:v>
                </c:pt>
                <c:pt idx="5">
                  <c:v>0.024390243902439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0871840"/>
        <c:axId val="335933456"/>
      </c:barChart>
      <c:catAx>
        <c:axId val="3808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5933456"/>
        <c:crosses val="autoZero"/>
        <c:auto val="1"/>
        <c:lblAlgn val="ctr"/>
        <c:lblOffset val="100"/>
        <c:noMultiLvlLbl val="0"/>
      </c:catAx>
      <c:valAx>
        <c:axId val="335933456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087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'整体概览-整体趋势'!$D$56</c:f>
              <c:strCache>
                <c:ptCount val="1"/>
                <c:pt idx="0">
                  <c:v>总事件数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'整体概览-整体趋势'!$C$57:$C$63</c:f>
              <c:strCache>
                <c:ptCount val="7"/>
                <c:pt idx="0">
                  <c:v>05-14</c:v>
                </c:pt>
                <c:pt idx="1">
                  <c:v>05-15</c:v>
                </c:pt>
                <c:pt idx="2">
                  <c:v>05-16</c:v>
                </c:pt>
                <c:pt idx="3">
                  <c:v>05-17</c:v>
                </c:pt>
                <c:pt idx="4">
                  <c:v>05-18</c:v>
                </c:pt>
                <c:pt idx="5">
                  <c:v>05-19</c:v>
                </c:pt>
                <c:pt idx="6">
                  <c:v>05-20</c:v>
                </c:pt>
              </c:strCache>
            </c:strRef>
          </c:cat>
          <c:val>
            <c:numRef>
              <c:f>'整体概览-整体趋势'!$D$57:$D$63</c:f>
              <c:numCache>
                <c:formatCode>General</c:formatCode>
                <c:ptCount val="7"/>
                <c:pt idx="0">
                  <c:v>1000</c:v>
                </c:pt>
                <c:pt idx="1">
                  <c:v>1200</c:v>
                </c:pt>
                <c:pt idx="2">
                  <c:v>1300</c:v>
                </c:pt>
                <c:pt idx="3">
                  <c:v>900</c:v>
                </c:pt>
                <c:pt idx="4">
                  <c:v>1000</c:v>
                </c:pt>
                <c:pt idx="5">
                  <c:v>800</c:v>
                </c:pt>
                <c:pt idx="6">
                  <c:v>1500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894872"/>
        <c:axId val="173895264"/>
      </c:lineChart>
      <c:catAx>
        <c:axId val="173894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3895264"/>
        <c:crosses val="autoZero"/>
        <c:auto val="1"/>
        <c:lblAlgn val="ctr"/>
        <c:lblOffset val="100"/>
        <c:noMultiLvlLbl val="0"/>
      </c:catAx>
      <c:valAx>
        <c:axId val="173895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3894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31309938102702"/>
          <c:y val="0.04251204926488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zh-CN" altLang="en-US" sz="11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'整体概览-整体趋势'!$H$56</c:f>
              <c:strCache>
                <c:ptCount val="1"/>
                <c:pt idx="0">
                  <c:v>平均访问事件数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'整体概览-整体趋势'!$G$57:$G$63</c:f>
              <c:strCache>
                <c:ptCount val="7"/>
                <c:pt idx="0">
                  <c:v>05-14</c:v>
                </c:pt>
                <c:pt idx="1">
                  <c:v>05-15</c:v>
                </c:pt>
                <c:pt idx="2">
                  <c:v>05-16</c:v>
                </c:pt>
                <c:pt idx="3">
                  <c:v>05-17</c:v>
                </c:pt>
                <c:pt idx="4">
                  <c:v>05-18</c:v>
                </c:pt>
                <c:pt idx="5">
                  <c:v>05-19</c:v>
                </c:pt>
                <c:pt idx="6">
                  <c:v>05-20</c:v>
                </c:pt>
              </c:strCache>
            </c:strRef>
          </c:cat>
          <c:val>
            <c:numRef>
              <c:f>'整体概览-整体趋势'!$H$57:$H$63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5</c:v>
                </c:pt>
                <c:pt idx="6">
                  <c:v>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892128"/>
        <c:axId val="407722344"/>
      </c:lineChart>
      <c:catAx>
        <c:axId val="17389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7722344"/>
        <c:crosses val="autoZero"/>
        <c:auto val="1"/>
        <c:lblAlgn val="ctr"/>
        <c:lblOffset val="100"/>
        <c:noMultiLvlLbl val="0"/>
      </c:catAx>
      <c:valAx>
        <c:axId val="407722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3892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100"/>
              <a:t>访问的总人次</a:t>
            </a:r>
            <a:endParaRPr lang="zh-CN" altLang="en-US" sz="11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55020506787313"/>
          <c:y val="0.204819472450978"/>
          <c:w val="0.883093148227325"/>
          <c:h val="0.627835098595677"/>
        </c:manualLayout>
      </c:layout>
      <c:lineChart>
        <c:grouping val="standard"/>
        <c:varyColors val="0"/>
        <c:ser>
          <c:idx val="0"/>
          <c:order val="0"/>
          <c:tx>
            <c:strRef>
              <c:f>事件分析!$B$34</c:f>
              <c:strCache>
                <c:ptCount val="1"/>
                <c:pt idx="0">
                  <c:v>访问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12700">
                <a:noFill/>
              </a:ln>
              <a:effectLst/>
            </c:spPr>
          </c:marker>
          <c:dLbls>
            <c:delete val="1"/>
          </c:dLbls>
          <c:cat>
            <c:strRef>
              <c:f>事件分析!$D$33:$F$33</c:f>
              <c:strCache>
                <c:ptCount val="3"/>
                <c:pt idx="0">
                  <c:v>05-18</c:v>
                </c:pt>
                <c:pt idx="1">
                  <c:v>05-19</c:v>
                </c:pt>
                <c:pt idx="2">
                  <c:v>05-20</c:v>
                </c:pt>
              </c:strCache>
            </c:strRef>
          </c:cat>
          <c:val>
            <c:numRef>
              <c:f>事件分析!$D$34:$F$34</c:f>
              <c:numCache>
                <c:formatCode>General</c:formatCode>
                <c:ptCount val="3"/>
                <c:pt idx="0">
                  <c:v>159</c:v>
                </c:pt>
                <c:pt idx="1">
                  <c:v>145</c:v>
                </c:pt>
                <c:pt idx="2">
                  <c:v>159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725872"/>
        <c:axId val="407725480"/>
      </c:lineChart>
      <c:catAx>
        <c:axId val="40772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7725480"/>
        <c:crosses val="autoZero"/>
        <c:auto val="1"/>
        <c:lblAlgn val="ctr"/>
        <c:lblOffset val="100"/>
        <c:noMultiLvlLbl val="0"/>
      </c:catAx>
      <c:valAx>
        <c:axId val="407725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772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zh-CN" alt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访问的总人次，体验的总人次</a:t>
            </a:r>
            <a:endParaRPr lang="zh-CN" altLang="en-US" sz="11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01652725454655"/>
          <c:y val="0.171474060551731"/>
          <c:w val="0.876246949270434"/>
          <c:h val="0.522082122638361"/>
        </c:manualLayout>
      </c:layout>
      <c:lineChart>
        <c:grouping val="standard"/>
        <c:varyColors val="0"/>
        <c:ser>
          <c:idx val="0"/>
          <c:order val="0"/>
          <c:tx>
            <c:strRef>
              <c:f>事件分析!$B$57</c:f>
              <c:strCache>
                <c:ptCount val="1"/>
                <c:pt idx="0">
                  <c:v>访问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12700">
                <a:noFill/>
              </a:ln>
              <a:effectLst/>
            </c:spPr>
          </c:marker>
          <c:dLbls>
            <c:delete val="1"/>
          </c:dLbls>
          <c:cat>
            <c:strRef>
              <c:f>事件分析!$D$56:$F$56</c:f>
              <c:strCache>
                <c:ptCount val="3"/>
                <c:pt idx="0">
                  <c:v>05-18</c:v>
                </c:pt>
                <c:pt idx="1">
                  <c:v>05-19</c:v>
                </c:pt>
                <c:pt idx="2">
                  <c:v>05-20</c:v>
                </c:pt>
              </c:strCache>
            </c:strRef>
          </c:cat>
          <c:val>
            <c:numRef>
              <c:f>事件分析!$D$57:$F$57</c:f>
              <c:numCache>
                <c:formatCode>General</c:formatCode>
                <c:ptCount val="3"/>
                <c:pt idx="0">
                  <c:v>159</c:v>
                </c:pt>
                <c:pt idx="1">
                  <c:v>145</c:v>
                </c:pt>
                <c:pt idx="2">
                  <c:v>159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事件分析!$B$58</c:f>
              <c:strCache>
                <c:ptCount val="1"/>
                <c:pt idx="0">
                  <c:v>体验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2700">
                <a:noFill/>
              </a:ln>
              <a:effectLst/>
            </c:spPr>
          </c:marker>
          <c:dLbls>
            <c:delete val="1"/>
          </c:dLbls>
          <c:cat>
            <c:strRef>
              <c:f>事件分析!$D$56:$F$56</c:f>
              <c:strCache>
                <c:ptCount val="3"/>
                <c:pt idx="0">
                  <c:v>05-18</c:v>
                </c:pt>
                <c:pt idx="1">
                  <c:v>05-19</c:v>
                </c:pt>
                <c:pt idx="2">
                  <c:v>05-20</c:v>
                </c:pt>
              </c:strCache>
            </c:strRef>
          </c:cat>
          <c:val>
            <c:numRef>
              <c:f>事件分析!$D$58:$F$58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130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727440"/>
        <c:axId val="407726656"/>
      </c:lineChart>
      <c:catAx>
        <c:axId val="40772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7726656"/>
        <c:crosses val="autoZero"/>
        <c:auto val="1"/>
        <c:lblAlgn val="ctr"/>
        <c:lblOffset val="100"/>
        <c:noMultiLvlLbl val="0"/>
      </c:catAx>
      <c:valAx>
        <c:axId val="407726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772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7557189984447"/>
          <c:y val="0.854182550633359"/>
          <c:w val="0.429923560756492"/>
          <c:h val="0.1075704470130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zh-CN" alt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访问的总人次</a:t>
            </a:r>
            <a:endParaRPr lang="zh-CN" altLang="en-US" sz="11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15118110236221"/>
          <c:y val="0.163166181761452"/>
          <c:w val="0.887059617547806"/>
          <c:h val="0.528589571830572"/>
        </c:manualLayout>
      </c:layout>
      <c:lineChart>
        <c:grouping val="standard"/>
        <c:varyColors val="0"/>
        <c:ser>
          <c:idx val="0"/>
          <c:order val="0"/>
          <c:tx>
            <c:strRef>
              <c:f>事件分析!$C$82</c:f>
              <c:strCache>
                <c:ptCount val="1"/>
                <c:pt idx="0">
                  <c:v>春-中庭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12700">
                <a:noFill/>
              </a:ln>
              <a:effectLst/>
            </c:spPr>
          </c:marker>
          <c:dLbls>
            <c:delete val="1"/>
          </c:dLbls>
          <c:cat>
            <c:strRef>
              <c:f>事件分析!$E$81:$G$81</c:f>
              <c:strCache>
                <c:ptCount val="3"/>
                <c:pt idx="0">
                  <c:v>05-18</c:v>
                </c:pt>
                <c:pt idx="1">
                  <c:v>05-19</c:v>
                </c:pt>
                <c:pt idx="2">
                  <c:v>05-20</c:v>
                </c:pt>
              </c:strCache>
            </c:strRef>
          </c:cat>
          <c:val>
            <c:numRef>
              <c:f>事件分析!$E$82:$G$82</c:f>
              <c:numCache>
                <c:formatCode>General</c:formatCode>
                <c:ptCount val="3"/>
                <c:pt idx="0">
                  <c:v>100</c:v>
                </c:pt>
                <c:pt idx="1">
                  <c:v>145</c:v>
                </c:pt>
                <c:pt idx="2">
                  <c:v>159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事件分析!$C$83</c:f>
              <c:strCache>
                <c:ptCount val="1"/>
                <c:pt idx="0">
                  <c:v>夏-中庭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2700">
                <a:noFill/>
              </a:ln>
              <a:effectLst/>
            </c:spPr>
          </c:marker>
          <c:dLbls>
            <c:delete val="1"/>
          </c:dLbls>
          <c:cat>
            <c:strRef>
              <c:f>事件分析!$E$81:$G$81</c:f>
              <c:strCache>
                <c:ptCount val="3"/>
                <c:pt idx="0">
                  <c:v>05-18</c:v>
                </c:pt>
                <c:pt idx="1">
                  <c:v>05-19</c:v>
                </c:pt>
                <c:pt idx="2">
                  <c:v>05-20</c:v>
                </c:pt>
              </c:strCache>
            </c:strRef>
          </c:cat>
          <c:val>
            <c:numRef>
              <c:f>事件分析!$E$83:$G$83</c:f>
              <c:numCache>
                <c:formatCode>General</c:formatCode>
                <c:ptCount val="3"/>
                <c:pt idx="0">
                  <c:v>60</c:v>
                </c:pt>
                <c:pt idx="1">
                  <c:v>130</c:v>
                </c:pt>
                <c:pt idx="2">
                  <c:v>130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事件分析!$C$84</c:f>
              <c:strCache>
                <c:ptCount val="1"/>
                <c:pt idx="0">
                  <c:v>秋-中庭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12700">
                <a:noFill/>
              </a:ln>
              <a:effectLst/>
            </c:spPr>
          </c:marker>
          <c:dLbls>
            <c:delete val="1"/>
          </c:dLbls>
          <c:cat>
            <c:strRef>
              <c:f>事件分析!$E$81:$G$81</c:f>
              <c:strCache>
                <c:ptCount val="3"/>
                <c:pt idx="0">
                  <c:v>05-18</c:v>
                </c:pt>
                <c:pt idx="1">
                  <c:v>05-19</c:v>
                </c:pt>
                <c:pt idx="2">
                  <c:v>05-20</c:v>
                </c:pt>
              </c:strCache>
            </c:strRef>
          </c:cat>
          <c:val>
            <c:numRef>
              <c:f>事件分析!$E$84:$G$84</c:f>
              <c:numCache>
                <c:formatCode>General</c:formatCode>
                <c:ptCount val="3"/>
                <c:pt idx="0">
                  <c:v>200</c:v>
                </c:pt>
                <c:pt idx="1">
                  <c:v>116</c:v>
                </c:pt>
                <c:pt idx="2">
                  <c:v>112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事件分析!$C$85</c:f>
              <c:strCache>
                <c:ptCount val="1"/>
                <c:pt idx="0">
                  <c:v>冬-中庭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12700">
                <a:noFill/>
              </a:ln>
              <a:effectLst/>
            </c:spPr>
          </c:marker>
          <c:dLbls>
            <c:delete val="1"/>
          </c:dLbls>
          <c:cat>
            <c:strRef>
              <c:f>事件分析!$E$81:$G$81</c:f>
              <c:strCache>
                <c:ptCount val="3"/>
                <c:pt idx="0">
                  <c:v>05-18</c:v>
                </c:pt>
                <c:pt idx="1">
                  <c:v>05-19</c:v>
                </c:pt>
                <c:pt idx="2">
                  <c:v>05-20</c:v>
                </c:pt>
              </c:strCache>
            </c:strRef>
          </c:cat>
          <c:val>
            <c:numRef>
              <c:f>事件分析!$E$85:$G$85</c:f>
              <c:numCache>
                <c:formatCode>General</c:formatCode>
                <c:ptCount val="3"/>
                <c:pt idx="0">
                  <c:v>150</c:v>
                </c:pt>
                <c:pt idx="1">
                  <c:v>123</c:v>
                </c:pt>
                <c:pt idx="2">
                  <c:v>132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724304"/>
        <c:axId val="407727832"/>
      </c:lineChart>
      <c:catAx>
        <c:axId val="40772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7727832"/>
        <c:crosses val="autoZero"/>
        <c:auto val="1"/>
        <c:lblAlgn val="ctr"/>
        <c:lblOffset val="100"/>
        <c:noMultiLvlLbl val="0"/>
      </c:catAx>
      <c:valAx>
        <c:axId val="407727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772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4311136107986"/>
          <c:y val="0.844254556741952"/>
          <c:w val="0.78280607424072"/>
          <c:h val="0.1148943903784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100" b="0" i="0" u="none" strike="noStrike" baseline="0">
                <a:effectLst/>
              </a:rPr>
              <a:t>商品</a:t>
            </a:r>
            <a:r>
              <a:rPr lang="en-US" altLang="zh-CN" sz="1100" b="0" i="0" u="none" strike="noStrike" baseline="0">
                <a:effectLst/>
              </a:rPr>
              <a:t>A007</a:t>
            </a:r>
            <a:r>
              <a:rPr lang="zh-CN" altLang="zh-CN" sz="1100" b="0" i="0" u="none" strike="noStrike" baseline="0">
                <a:effectLst/>
              </a:rPr>
              <a:t>的</a:t>
            </a:r>
            <a:r>
              <a:rPr lang="zh-CN" altLang="en-US" sz="1100"/>
              <a:t>年龄分布</a:t>
            </a:r>
            <a:endParaRPr lang="zh-CN" altLang="en-US" sz="1100"/>
          </a:p>
        </c:rich>
      </c:tx>
      <c:layout>
        <c:manualLayout>
          <c:xMode val="edge"/>
          <c:yMode val="edge"/>
          <c:x val="0.408732581577262"/>
          <c:y val="0.021480872157237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4369383392483"/>
          <c:y val="0.249894146095866"/>
          <c:w val="0.830486824537008"/>
          <c:h val="0.4881593035010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'整体概览-实时统计'!$I$52</c:f>
              <c:strCache>
                <c:ptCount val="1"/>
                <c:pt idx="0">
                  <c:v>占比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'整体概览-实时统计'!$G$53:$G$58</c:f>
              <c:strCache>
                <c:ptCount val="6"/>
                <c:pt idx="0" c:formatCode="0.0%">
                  <c:v>18岁以下</c:v>
                </c:pt>
                <c:pt idx="1" c:formatCode="0.0%">
                  <c:v>【18,  24）</c:v>
                </c:pt>
                <c:pt idx="2" c:formatCode="0.0%">
                  <c:v>【24,  30）</c:v>
                </c:pt>
                <c:pt idx="3" c:formatCode="0.0%">
                  <c:v>【30,  40）</c:v>
                </c:pt>
                <c:pt idx="4" c:formatCode="0.0%">
                  <c:v>【40,  50）</c:v>
                </c:pt>
                <c:pt idx="5" c:formatCode="0.0%">
                  <c:v>50岁以上</c:v>
                </c:pt>
              </c:strCache>
            </c:strRef>
          </c:cat>
          <c:val>
            <c:numRef>
              <c:f>'整体概览-实时统计'!$I$53:$I$58</c:f>
              <c:numCache>
                <c:formatCode>0.0%</c:formatCode>
                <c:ptCount val="6"/>
                <c:pt idx="0">
                  <c:v>0.24390243902439</c:v>
                </c:pt>
                <c:pt idx="1">
                  <c:v>0.365853658536585</c:v>
                </c:pt>
                <c:pt idx="2">
                  <c:v>0.24390243902439</c:v>
                </c:pt>
                <c:pt idx="3">
                  <c:v>0.0975609756097561</c:v>
                </c:pt>
                <c:pt idx="4">
                  <c:v>0.024390243902439</c:v>
                </c:pt>
                <c:pt idx="5">
                  <c:v>0.024390243902439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0871840"/>
        <c:axId val="335933456"/>
      </c:barChart>
      <c:catAx>
        <c:axId val="3808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5933456"/>
        <c:crosses val="autoZero"/>
        <c:auto val="1"/>
        <c:lblAlgn val="ctr"/>
        <c:lblOffset val="100"/>
        <c:noMultiLvlLbl val="0"/>
      </c:catAx>
      <c:valAx>
        <c:axId val="335933456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087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zh-CN" alt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性别分布</a:t>
            </a:r>
            <a:endParaRPr lang="zh-CN" altLang="en-US" sz="11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35850011967002"/>
          <c:y val="0.224060197780806"/>
          <c:w val="0.391109956881802"/>
          <c:h val="0.614646175658911"/>
        </c:manualLayout>
      </c:layout>
      <c:doughnutChart>
        <c:varyColors val="1"/>
        <c:ser>
          <c:idx val="0"/>
          <c:order val="0"/>
          <c:tx>
            <c:strRef>
              <c:f>属性分析!$D$21</c:f>
              <c:strCache>
                <c:ptCount val="1"/>
                <c:pt idx="0">
                  <c:v>占比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71042471042471"/>
                  <c:y val="-0.052666238701640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71042471042471"/>
                  <c:y val="-0.015799871610492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属性分析!$B$22:$B$23</c:f>
              <c:strCache>
                <c:ptCount val="2"/>
                <c:pt idx="0">
                  <c:v>男</c:v>
                </c:pt>
                <c:pt idx="1">
                  <c:v>女</c:v>
                </c:pt>
              </c:strCache>
            </c:strRef>
          </c:cat>
          <c:val>
            <c:numRef>
              <c:f>属性分析!$D$22:$D$23</c:f>
              <c:numCache>
                <c:formatCode>0.0%</c:formatCode>
                <c:ptCount val="2"/>
                <c:pt idx="0">
                  <c:v>0.571428571428571</c:v>
                </c:pt>
                <c:pt idx="1">
                  <c:v>0.428571428571429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2689342117219"/>
          <c:y val="0.397796794693268"/>
          <c:w val="0.130482007448216"/>
          <c:h val="0.2556285287490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zh-CN" alt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年龄分布</a:t>
            </a:r>
            <a:endParaRPr lang="zh-CN" altLang="en-US" sz="11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属性分析!$I$21</c:f>
              <c:strCache>
                <c:ptCount val="1"/>
                <c:pt idx="0">
                  <c:v>占比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属性分析!$G$22:$G$27</c:f>
              <c:strCache>
                <c:ptCount val="6"/>
                <c:pt idx="0">
                  <c:v>18岁以下</c:v>
                </c:pt>
                <c:pt idx="1">
                  <c:v>【18, 24）</c:v>
                </c:pt>
                <c:pt idx="2">
                  <c:v>【24, 30）</c:v>
                </c:pt>
                <c:pt idx="3">
                  <c:v>【30, 40）</c:v>
                </c:pt>
                <c:pt idx="4">
                  <c:v>【40, 50）</c:v>
                </c:pt>
                <c:pt idx="5">
                  <c:v>50岁以上</c:v>
                </c:pt>
              </c:strCache>
            </c:strRef>
          </c:cat>
          <c:val>
            <c:numRef>
              <c:f>属性分析!$I$22:$I$27</c:f>
              <c:numCache>
                <c:formatCode>0.0%</c:formatCode>
                <c:ptCount val="6"/>
                <c:pt idx="0">
                  <c:v>0.138888888888889</c:v>
                </c:pt>
                <c:pt idx="1">
                  <c:v>0.416666666666667</c:v>
                </c:pt>
                <c:pt idx="2">
                  <c:v>0.277777777777778</c:v>
                </c:pt>
                <c:pt idx="3">
                  <c:v>0.111111111111111</c:v>
                </c:pt>
                <c:pt idx="4">
                  <c:v>0.0277777777777778</c:v>
                </c:pt>
                <c:pt idx="5">
                  <c:v>0.0277777777777778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6852224"/>
        <c:axId val="335907664"/>
      </c:barChart>
      <c:catAx>
        <c:axId val="39685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5907664"/>
        <c:crosses val="autoZero"/>
        <c:auto val="1"/>
        <c:lblAlgn val="ctr"/>
        <c:lblOffset val="100"/>
        <c:noMultiLvlLbl val="0"/>
      </c:catAx>
      <c:valAx>
        <c:axId val="33590766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685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zh-CN" altLang="zh-CN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zh-CN" altLang="zh-CN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rPr>
              <a:t>商品A007的</a:t>
            </a:r>
            <a:r>
              <a:rPr lang="zh-CN" alt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rPr>
              <a:t>性别</a:t>
            </a:r>
            <a:r>
              <a:rPr lang="zh-CN" altLang="zh-CN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rPr>
              <a:t>分布</a:t>
            </a:r>
            <a:endParaRPr lang="zh-CN" altLang="zh-CN" sz="11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32761671670659"/>
          <c:y val="0.203441948232515"/>
          <c:w val="0.302966529811545"/>
          <c:h val="0.607795098005599"/>
        </c:manualLayout>
      </c:layout>
      <c:doughnutChart>
        <c:varyColors val="1"/>
        <c:ser>
          <c:idx val="0"/>
          <c:order val="0"/>
          <c:tx>
            <c:strRef>
              <c:f>属性分析!$D$46</c:f>
              <c:strCache>
                <c:ptCount val="1"/>
                <c:pt idx="0">
                  <c:v>占比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700218914897764"/>
                  <c:y val="-0.04214224167967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875273643622205"/>
                  <c:y val="0.02107112083983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属性分析!$B$47:$B$48</c:f>
              <c:strCache>
                <c:ptCount val="2"/>
                <c:pt idx="0">
                  <c:v>男</c:v>
                </c:pt>
                <c:pt idx="1">
                  <c:v>女</c:v>
                </c:pt>
              </c:strCache>
            </c:strRef>
          </c:cat>
          <c:val>
            <c:numRef>
              <c:f>属性分析!$D$47:$D$48</c:f>
              <c:numCache>
                <c:formatCode>0.0%</c:formatCode>
                <c:ptCount val="2"/>
                <c:pt idx="0">
                  <c:v>0.285714285714286</c:v>
                </c:pt>
                <c:pt idx="1">
                  <c:v>0.428571428571429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7837048582787"/>
          <c:y val="0.339209097414944"/>
          <c:w val="0.101134492480503"/>
          <c:h val="0.3072888380576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4" Type="http://schemas.openxmlformats.org/officeDocument/2006/relationships/chart" Target="../charts/chart11.xml"/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60612</xdr:colOff>
      <xdr:row>40</xdr:row>
      <xdr:rowOff>34638</xdr:rowOff>
    </xdr:from>
    <xdr:to>
      <xdr:col>4</xdr:col>
      <xdr:colOff>1160318</xdr:colOff>
      <xdr:row>50</xdr:row>
      <xdr:rowOff>43297</xdr:rowOff>
    </xdr:to>
    <xdr:graphicFrame>
      <xdr:nvGraphicFramePr>
        <xdr:cNvPr id="2" name="图表 1"/>
        <xdr:cNvGraphicFramePr/>
      </xdr:nvGraphicFramePr>
      <xdr:xfrm>
        <a:off x="1340485" y="7207250"/>
        <a:ext cx="3864610" cy="1583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21649</xdr:colOff>
      <xdr:row>40</xdr:row>
      <xdr:rowOff>60613</xdr:rowOff>
    </xdr:from>
    <xdr:to>
      <xdr:col>8</xdr:col>
      <xdr:colOff>1454727</xdr:colOff>
      <xdr:row>50</xdr:row>
      <xdr:rowOff>8659</xdr:rowOff>
    </xdr:to>
    <xdr:graphicFrame>
      <xdr:nvGraphicFramePr>
        <xdr:cNvPr id="3" name="图表 2"/>
        <xdr:cNvGraphicFramePr/>
      </xdr:nvGraphicFramePr>
      <xdr:xfrm>
        <a:off x="6413500" y="7233285"/>
        <a:ext cx="3672840" cy="15227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30306</xdr:colOff>
      <xdr:row>43</xdr:row>
      <xdr:rowOff>155863</xdr:rowOff>
    </xdr:from>
    <xdr:to>
      <xdr:col>4</xdr:col>
      <xdr:colOff>1298863</xdr:colOff>
      <xdr:row>53</xdr:row>
      <xdr:rowOff>133348</xdr:rowOff>
    </xdr:to>
    <xdr:graphicFrame>
      <xdr:nvGraphicFramePr>
        <xdr:cNvPr id="3" name="图表 2"/>
        <xdr:cNvGraphicFramePr/>
      </xdr:nvGraphicFramePr>
      <xdr:xfrm>
        <a:off x="1310005" y="8156575"/>
        <a:ext cx="3802380" cy="1551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21648</xdr:colOff>
      <xdr:row>43</xdr:row>
      <xdr:rowOff>138545</xdr:rowOff>
    </xdr:from>
    <xdr:to>
      <xdr:col>8</xdr:col>
      <xdr:colOff>1437409</xdr:colOff>
      <xdr:row>53</xdr:row>
      <xdr:rowOff>155863</xdr:rowOff>
    </xdr:to>
    <xdr:graphicFrame>
      <xdr:nvGraphicFramePr>
        <xdr:cNvPr id="4" name="图表 3"/>
        <xdr:cNvGraphicFramePr/>
      </xdr:nvGraphicFramePr>
      <xdr:xfrm>
        <a:off x="6262370" y="8139430"/>
        <a:ext cx="3833495" cy="1591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31749</xdr:colOff>
      <xdr:row>22</xdr:row>
      <xdr:rowOff>142874</xdr:rowOff>
    </xdr:from>
    <xdr:to>
      <xdr:col>4</xdr:col>
      <xdr:colOff>269873</xdr:colOff>
      <xdr:row>30</xdr:row>
      <xdr:rowOff>157160</xdr:rowOff>
    </xdr:to>
    <xdr:graphicFrame>
      <xdr:nvGraphicFramePr>
        <xdr:cNvPr id="2" name="图表 1"/>
        <xdr:cNvGraphicFramePr/>
      </xdr:nvGraphicFramePr>
      <xdr:xfrm>
        <a:off x="671195" y="3642360"/>
        <a:ext cx="4051935" cy="14776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15874</xdr:colOff>
      <xdr:row>44</xdr:row>
      <xdr:rowOff>127001</xdr:rowOff>
    </xdr:from>
    <xdr:to>
      <xdr:col>4</xdr:col>
      <xdr:colOff>87312</xdr:colOff>
      <xdr:row>53</xdr:row>
      <xdr:rowOff>134939</xdr:rowOff>
    </xdr:to>
    <xdr:graphicFrame>
      <xdr:nvGraphicFramePr>
        <xdr:cNvPr id="3" name="图表 2"/>
        <xdr:cNvGraphicFramePr/>
      </xdr:nvGraphicFramePr>
      <xdr:xfrm>
        <a:off x="655320" y="7447280"/>
        <a:ext cx="3885565" cy="1424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23812</xdr:colOff>
      <xdr:row>68</xdr:row>
      <xdr:rowOff>126999</xdr:rowOff>
    </xdr:from>
    <xdr:to>
      <xdr:col>4</xdr:col>
      <xdr:colOff>380999</xdr:colOff>
      <xdr:row>78</xdr:row>
      <xdr:rowOff>166687</xdr:rowOff>
    </xdr:to>
    <xdr:graphicFrame>
      <xdr:nvGraphicFramePr>
        <xdr:cNvPr id="4" name="图表 3"/>
        <xdr:cNvGraphicFramePr/>
      </xdr:nvGraphicFramePr>
      <xdr:xfrm>
        <a:off x="663575" y="11353165"/>
        <a:ext cx="4170680" cy="16059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11113</xdr:colOff>
      <xdr:row>12</xdr:row>
      <xdr:rowOff>179383</xdr:rowOff>
    </xdr:from>
    <xdr:to>
      <xdr:col>6</xdr:col>
      <xdr:colOff>428621</xdr:colOff>
      <xdr:row>31</xdr:row>
      <xdr:rowOff>66670</xdr:rowOff>
    </xdr:to>
    <xdr:grpSp>
      <xdr:nvGrpSpPr>
        <xdr:cNvPr id="2" name="组合 1"/>
        <xdr:cNvGrpSpPr/>
      </xdr:nvGrpSpPr>
      <xdr:grpSpPr>
        <a:xfrm>
          <a:off x="2402205" y="1986280"/>
          <a:ext cx="2337435" cy="3002280"/>
          <a:chOff x="2706682" y="1766882"/>
          <a:chExt cx="2627317" cy="3292475"/>
        </a:xfrm>
      </xdr:grpSpPr>
      <xdr:cxnSp>
        <xdr:nvCxnSpPr>
          <xdr:cNvPr id="3" name="直接连接符 2"/>
          <xdr:cNvCxnSpPr/>
        </xdr:nvCxnSpPr>
        <xdr:spPr>
          <a:xfrm flipV="1">
            <a:off x="2889250" y="3055938"/>
            <a:ext cx="1436688" cy="15877"/>
          </a:xfrm>
          <a:prstGeom prst="line">
            <a:avLst/>
          </a:prstGeom>
          <a:ln w="190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4" name="组合 3"/>
          <xdr:cNvGrpSpPr/>
        </xdr:nvGrpSpPr>
        <xdr:grpSpPr>
          <a:xfrm>
            <a:off x="2706682" y="1766882"/>
            <a:ext cx="2627317" cy="3292475"/>
            <a:chOff x="2730496" y="1758944"/>
            <a:chExt cx="2627317" cy="3292475"/>
          </a:xfrm>
        </xdr:grpSpPr>
        <xdr:grpSp>
          <xdr:nvGrpSpPr>
            <xdr:cNvPr id="5" name="组合 4"/>
            <xdr:cNvGrpSpPr/>
          </xdr:nvGrpSpPr>
          <xdr:grpSpPr>
            <a:xfrm>
              <a:off x="2730496" y="1758944"/>
              <a:ext cx="2627317" cy="3292475"/>
              <a:chOff x="2790825" y="1543047"/>
              <a:chExt cx="2637422" cy="2533650"/>
            </a:xfrm>
          </xdr:grpSpPr>
          <xdr:grpSp>
            <xdr:nvGrpSpPr>
              <xdr:cNvPr id="7" name="组合 6"/>
              <xdr:cNvGrpSpPr/>
            </xdr:nvGrpSpPr>
            <xdr:grpSpPr>
              <a:xfrm>
                <a:off x="2790825" y="1543047"/>
                <a:ext cx="1781175" cy="2533650"/>
                <a:chOff x="2790825" y="1543047"/>
                <a:chExt cx="1781175" cy="2466975"/>
              </a:xfrm>
            </xdr:grpSpPr>
            <xdr:sp>
              <xdr:nvSpPr>
                <xdr:cNvPr id="11" name="梯形 10"/>
                <xdr:cNvSpPr/>
              </xdr:nvSpPr>
              <xdr:spPr>
                <a:xfrm rot="10800000">
                  <a:off x="2790825" y="1543047"/>
                  <a:ext cx="1781175" cy="2466975"/>
                </a:xfrm>
                <a:prstGeom prst="trapezoid">
                  <a:avLst/>
                </a:prstGeom>
                <a:noFill/>
                <a:ln>
                  <a:solidFill>
                    <a:schemeClr val="bg1">
                      <a:lumMod val="75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zh-CN" altLang="en-US" sz="1100"/>
                </a:p>
              </xdr:txBody>
            </xdr:sp>
            <xdr:cxnSp>
              <xdr:nvCxnSpPr>
                <xdr:cNvPr id="12" name="直接连接符 11"/>
                <xdr:cNvCxnSpPr/>
              </xdr:nvCxnSpPr>
              <xdr:spPr>
                <a:xfrm>
                  <a:off x="2870509" y="2037871"/>
                  <a:ext cx="1615766" cy="480"/>
                </a:xfrm>
                <a:prstGeom prst="line">
                  <a:avLst/>
                </a:prstGeom>
                <a:ln w="19050">
                  <a:solidFill>
                    <a:schemeClr val="bg1">
                      <a:lumMod val="6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>
              <xdr:nvCxnSpPr>
                <xdr:cNvPr id="13" name="直接连接符 12"/>
                <xdr:cNvCxnSpPr/>
              </xdr:nvCxnSpPr>
              <xdr:spPr>
                <a:xfrm flipV="1">
                  <a:off x="3069709" y="3028693"/>
                  <a:ext cx="1243012" cy="5933"/>
                </a:xfrm>
                <a:prstGeom prst="line">
                  <a:avLst/>
                </a:prstGeom>
                <a:ln w="19050">
                  <a:solidFill>
                    <a:schemeClr val="bg1">
                      <a:lumMod val="6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>
              <xdr:nvCxnSpPr>
                <xdr:cNvPr id="14" name="直接连接符 13"/>
                <xdr:cNvCxnSpPr/>
              </xdr:nvCxnSpPr>
              <xdr:spPr>
                <a:xfrm>
                  <a:off x="3181268" y="3573488"/>
                  <a:ext cx="1038307" cy="6615"/>
                </a:xfrm>
                <a:prstGeom prst="line">
                  <a:avLst/>
                </a:prstGeom>
                <a:ln w="19050">
                  <a:solidFill>
                    <a:schemeClr val="bg1">
                      <a:lumMod val="6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cxnSp>
            <xdr:nvCxnSpPr>
              <xdr:cNvPr id="8" name="肘形连接符 19"/>
              <xdr:cNvCxnSpPr/>
            </xdr:nvCxnSpPr>
            <xdr:spPr>
              <a:xfrm>
                <a:off x="4193202" y="1795867"/>
                <a:ext cx="1171301" cy="383339"/>
              </a:xfrm>
              <a:prstGeom prst="bentConnector3">
                <a:avLst/>
              </a:prstGeom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>
            <xdr:nvCxnSpPr>
              <xdr:cNvPr id="9" name="肘形连接符 21"/>
              <xdr:cNvCxnSpPr/>
            </xdr:nvCxnSpPr>
            <xdr:spPr>
              <a:xfrm>
                <a:off x="4128446" y="2272981"/>
                <a:ext cx="1267929" cy="430261"/>
              </a:xfrm>
              <a:prstGeom prst="bentConnector3">
                <a:avLst/>
              </a:prstGeom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>
            <xdr:nvCxnSpPr>
              <xdr:cNvPr id="10" name="肘形连接符 23"/>
              <xdr:cNvCxnSpPr/>
            </xdr:nvCxnSpPr>
            <xdr:spPr>
              <a:xfrm>
                <a:off x="4001507" y="3289494"/>
                <a:ext cx="1426740" cy="504473"/>
              </a:xfrm>
              <a:prstGeom prst="bentConnector3">
                <a:avLst/>
              </a:prstGeom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cxnSp>
          <xdr:nvCxnSpPr>
            <xdr:cNvPr id="6" name="肘形连接符 21"/>
            <xdr:cNvCxnSpPr/>
          </xdr:nvCxnSpPr>
          <xdr:spPr>
            <a:xfrm>
              <a:off x="4032246" y="3378198"/>
              <a:ext cx="1301759" cy="606427"/>
            </a:xfrm>
            <a:prstGeom prst="bentConnector3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2</xdr:col>
      <xdr:colOff>1109661</xdr:colOff>
      <xdr:row>43</xdr:row>
      <xdr:rowOff>20631</xdr:rowOff>
    </xdr:from>
    <xdr:to>
      <xdr:col>6</xdr:col>
      <xdr:colOff>492126</xdr:colOff>
      <xdr:row>53</xdr:row>
      <xdr:rowOff>71436</xdr:rowOff>
    </xdr:to>
    <xdr:grpSp>
      <xdr:nvGrpSpPr>
        <xdr:cNvPr id="15" name="组合 14"/>
        <xdr:cNvGrpSpPr/>
      </xdr:nvGrpSpPr>
      <xdr:grpSpPr>
        <a:xfrm>
          <a:off x="2389505" y="6832600"/>
          <a:ext cx="2414270" cy="1676400"/>
          <a:chOff x="2706680" y="1766880"/>
          <a:chExt cx="2712022" cy="2842557"/>
        </a:xfrm>
      </xdr:grpSpPr>
      <xdr:cxnSp>
        <xdr:nvCxnSpPr>
          <xdr:cNvPr id="16" name="直接连接符 15"/>
          <xdr:cNvCxnSpPr/>
        </xdr:nvCxnSpPr>
        <xdr:spPr>
          <a:xfrm>
            <a:off x="2847950" y="2694410"/>
            <a:ext cx="1478151" cy="23073"/>
          </a:xfrm>
          <a:prstGeom prst="line">
            <a:avLst/>
          </a:prstGeom>
          <a:ln w="190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7" name="组合 16"/>
          <xdr:cNvGrpSpPr/>
        </xdr:nvGrpSpPr>
        <xdr:grpSpPr>
          <a:xfrm>
            <a:off x="2706680" y="1766880"/>
            <a:ext cx="2712022" cy="2842557"/>
            <a:chOff x="2730494" y="1758942"/>
            <a:chExt cx="2712022" cy="2842557"/>
          </a:xfrm>
        </xdr:grpSpPr>
        <xdr:grpSp>
          <xdr:nvGrpSpPr>
            <xdr:cNvPr id="18" name="组合 17"/>
            <xdr:cNvGrpSpPr/>
          </xdr:nvGrpSpPr>
          <xdr:grpSpPr>
            <a:xfrm>
              <a:off x="2730494" y="1758942"/>
              <a:ext cx="2712022" cy="2842557"/>
              <a:chOff x="2790823" y="1543046"/>
              <a:chExt cx="2722453" cy="2187426"/>
            </a:xfrm>
          </xdr:grpSpPr>
          <xdr:grpSp>
            <xdr:nvGrpSpPr>
              <xdr:cNvPr id="20" name="组合 19"/>
              <xdr:cNvGrpSpPr/>
            </xdr:nvGrpSpPr>
            <xdr:grpSpPr>
              <a:xfrm>
                <a:off x="2790823" y="1543046"/>
                <a:ext cx="1781175" cy="2187426"/>
                <a:chOff x="2790823" y="1543046"/>
                <a:chExt cx="1781175" cy="2129861"/>
              </a:xfrm>
            </xdr:grpSpPr>
            <xdr:sp>
              <xdr:nvSpPr>
                <xdr:cNvPr id="24" name="梯形 23"/>
                <xdr:cNvSpPr/>
              </xdr:nvSpPr>
              <xdr:spPr>
                <a:xfrm rot="10800000">
                  <a:off x="2790823" y="1543046"/>
                  <a:ext cx="1781175" cy="2129861"/>
                </a:xfrm>
                <a:prstGeom prst="trapezoid">
                  <a:avLst/>
                </a:prstGeom>
                <a:noFill/>
                <a:ln>
                  <a:solidFill>
                    <a:schemeClr val="bg1">
                      <a:lumMod val="75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zh-CN" altLang="en-US" sz="1100"/>
                </a:p>
              </xdr:txBody>
            </xdr:sp>
            <xdr:cxnSp>
              <xdr:nvCxnSpPr>
                <xdr:cNvPr id="26" name="直接连接符 25"/>
                <xdr:cNvCxnSpPr/>
              </xdr:nvCxnSpPr>
              <xdr:spPr>
                <a:xfrm>
                  <a:off x="3114023" y="3024617"/>
                  <a:ext cx="1149407" cy="1"/>
                </a:xfrm>
                <a:prstGeom prst="line">
                  <a:avLst/>
                </a:prstGeom>
                <a:ln w="19050">
                  <a:solidFill>
                    <a:schemeClr val="bg1">
                      <a:lumMod val="6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cxnSp>
            <xdr:nvCxnSpPr>
              <xdr:cNvPr id="21" name="肘形连接符 19"/>
              <xdr:cNvCxnSpPr/>
            </xdr:nvCxnSpPr>
            <xdr:spPr>
              <a:xfrm>
                <a:off x="4193202" y="1795867"/>
                <a:ext cx="1320074" cy="745019"/>
              </a:xfrm>
              <a:prstGeom prst="bentConnector3">
                <a:avLst/>
              </a:prstGeom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cxnSp>
          <xdr:nvCxnSpPr>
            <xdr:cNvPr id="19" name="肘形连接符 21"/>
            <xdr:cNvCxnSpPr/>
          </xdr:nvCxnSpPr>
          <xdr:spPr>
            <a:xfrm>
              <a:off x="4032246" y="3378198"/>
              <a:ext cx="1367921" cy="1004113"/>
            </a:xfrm>
            <a:prstGeom prst="bentConnector3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2</xdr:col>
      <xdr:colOff>1109661</xdr:colOff>
      <xdr:row>65</xdr:row>
      <xdr:rowOff>20631</xdr:rowOff>
    </xdr:from>
    <xdr:to>
      <xdr:col>6</xdr:col>
      <xdr:colOff>492126</xdr:colOff>
      <xdr:row>75</xdr:row>
      <xdr:rowOff>71436</xdr:rowOff>
    </xdr:to>
    <xdr:grpSp>
      <xdr:nvGrpSpPr>
        <xdr:cNvPr id="37" name="组合 36"/>
        <xdr:cNvGrpSpPr/>
      </xdr:nvGrpSpPr>
      <xdr:grpSpPr>
        <a:xfrm>
          <a:off x="2389505" y="10358120"/>
          <a:ext cx="2414270" cy="1676400"/>
          <a:chOff x="2706680" y="1766880"/>
          <a:chExt cx="2712022" cy="2842557"/>
        </a:xfrm>
      </xdr:grpSpPr>
      <xdr:cxnSp>
        <xdr:nvCxnSpPr>
          <xdr:cNvPr id="38" name="直接连接符 37"/>
          <xdr:cNvCxnSpPr/>
        </xdr:nvCxnSpPr>
        <xdr:spPr>
          <a:xfrm>
            <a:off x="2856163" y="2705946"/>
            <a:ext cx="1469939" cy="11537"/>
          </a:xfrm>
          <a:prstGeom prst="line">
            <a:avLst/>
          </a:prstGeom>
          <a:ln w="190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39" name="组合 38"/>
          <xdr:cNvGrpSpPr/>
        </xdr:nvGrpSpPr>
        <xdr:grpSpPr>
          <a:xfrm>
            <a:off x="2706680" y="1766880"/>
            <a:ext cx="2712022" cy="2842557"/>
            <a:chOff x="2730494" y="1758942"/>
            <a:chExt cx="2712022" cy="2842557"/>
          </a:xfrm>
        </xdr:grpSpPr>
        <xdr:grpSp>
          <xdr:nvGrpSpPr>
            <xdr:cNvPr id="40" name="组合 39"/>
            <xdr:cNvGrpSpPr/>
          </xdr:nvGrpSpPr>
          <xdr:grpSpPr>
            <a:xfrm>
              <a:off x="2730494" y="1758942"/>
              <a:ext cx="2712022" cy="2842557"/>
              <a:chOff x="2790823" y="1543046"/>
              <a:chExt cx="2722453" cy="2187426"/>
            </a:xfrm>
          </xdr:grpSpPr>
          <xdr:grpSp>
            <xdr:nvGrpSpPr>
              <xdr:cNvPr id="42" name="组合 41"/>
              <xdr:cNvGrpSpPr/>
            </xdr:nvGrpSpPr>
            <xdr:grpSpPr>
              <a:xfrm>
                <a:off x="2790823" y="1543046"/>
                <a:ext cx="1781175" cy="2187426"/>
                <a:chOff x="2790823" y="1543046"/>
                <a:chExt cx="1781175" cy="2129861"/>
              </a:xfrm>
            </xdr:grpSpPr>
            <xdr:sp>
              <xdr:nvSpPr>
                <xdr:cNvPr id="44" name="梯形 43"/>
                <xdr:cNvSpPr/>
              </xdr:nvSpPr>
              <xdr:spPr>
                <a:xfrm rot="10800000">
                  <a:off x="2790823" y="1543046"/>
                  <a:ext cx="1781175" cy="2129861"/>
                </a:xfrm>
                <a:prstGeom prst="trapezoid">
                  <a:avLst/>
                </a:prstGeom>
                <a:noFill/>
                <a:ln>
                  <a:solidFill>
                    <a:schemeClr val="bg1">
                      <a:lumMod val="75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zh-CN" altLang="en-US" sz="1100"/>
                </a:p>
              </xdr:txBody>
            </xdr:sp>
            <xdr:cxnSp>
              <xdr:nvCxnSpPr>
                <xdr:cNvPr id="45" name="直接连接符 44"/>
                <xdr:cNvCxnSpPr/>
              </xdr:nvCxnSpPr>
              <xdr:spPr>
                <a:xfrm flipV="1">
                  <a:off x="3114023" y="3024618"/>
                  <a:ext cx="1149407" cy="8642"/>
                </a:xfrm>
                <a:prstGeom prst="line">
                  <a:avLst/>
                </a:prstGeom>
                <a:ln w="19050">
                  <a:solidFill>
                    <a:schemeClr val="bg1">
                      <a:lumMod val="6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cxnSp>
            <xdr:nvCxnSpPr>
              <xdr:cNvPr id="43" name="肘形连接符 19"/>
              <xdr:cNvCxnSpPr/>
            </xdr:nvCxnSpPr>
            <xdr:spPr>
              <a:xfrm>
                <a:off x="4193202" y="1795867"/>
                <a:ext cx="1320074" cy="745019"/>
              </a:xfrm>
              <a:prstGeom prst="bentConnector3">
                <a:avLst/>
              </a:prstGeom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cxnSp>
          <xdr:nvCxnSpPr>
            <xdr:cNvPr id="41" name="肘形连接符 21"/>
            <xdr:cNvCxnSpPr/>
          </xdr:nvCxnSpPr>
          <xdr:spPr>
            <a:xfrm>
              <a:off x="4032246" y="3378198"/>
              <a:ext cx="1367921" cy="1004113"/>
            </a:xfrm>
            <a:prstGeom prst="bentConnector3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5</xdr:col>
      <xdr:colOff>161926</xdr:colOff>
      <xdr:row>14</xdr:row>
      <xdr:rowOff>60321</xdr:rowOff>
    </xdr:from>
    <xdr:to>
      <xdr:col>9</xdr:col>
      <xdr:colOff>325438</xdr:colOff>
      <xdr:row>28</xdr:row>
      <xdr:rowOff>63500</xdr:rowOff>
    </xdr:to>
    <xdr:cxnSp>
      <xdr:nvCxnSpPr>
        <xdr:cNvPr id="33" name="肘形连接符 19"/>
        <xdr:cNvCxnSpPr/>
      </xdr:nvCxnSpPr>
      <xdr:spPr>
        <a:xfrm>
          <a:off x="3833495" y="2213610"/>
          <a:ext cx="2723515" cy="2289810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37525</xdr:colOff>
      <xdr:row>34</xdr:row>
      <xdr:rowOff>47625</xdr:rowOff>
    </xdr:from>
    <xdr:to>
      <xdr:col>10</xdr:col>
      <xdr:colOff>420687</xdr:colOff>
      <xdr:row>43</xdr:row>
      <xdr:rowOff>151533</xdr:rowOff>
    </xdr:to>
    <xdr:graphicFrame>
      <xdr:nvGraphicFramePr>
        <xdr:cNvPr id="5" name="图表 4"/>
        <xdr:cNvGraphicFramePr/>
      </xdr:nvGraphicFramePr>
      <xdr:xfrm>
        <a:off x="4784725" y="5401945"/>
        <a:ext cx="3476625" cy="1520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31752</xdr:colOff>
      <xdr:row>9</xdr:row>
      <xdr:rowOff>23809</xdr:rowOff>
    </xdr:from>
    <xdr:to>
      <xdr:col>4</xdr:col>
      <xdr:colOff>674688</xdr:colOff>
      <xdr:row>18</xdr:row>
      <xdr:rowOff>157158</xdr:rowOff>
    </xdr:to>
    <xdr:graphicFrame>
      <xdr:nvGraphicFramePr>
        <xdr:cNvPr id="6" name="图表 5"/>
        <xdr:cNvGraphicFramePr/>
      </xdr:nvGraphicFramePr>
      <xdr:xfrm>
        <a:off x="671830" y="1440815"/>
        <a:ext cx="3425190" cy="15506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31752</xdr:colOff>
      <xdr:row>9</xdr:row>
      <xdr:rowOff>55562</xdr:rowOff>
    </xdr:from>
    <xdr:to>
      <xdr:col>10</xdr:col>
      <xdr:colOff>420688</xdr:colOff>
      <xdr:row>18</xdr:row>
      <xdr:rowOff>158747</xdr:rowOff>
    </xdr:to>
    <xdr:graphicFrame>
      <xdr:nvGraphicFramePr>
        <xdr:cNvPr id="7" name="图表 6"/>
        <xdr:cNvGraphicFramePr/>
      </xdr:nvGraphicFramePr>
      <xdr:xfrm>
        <a:off x="4779010" y="1472565"/>
        <a:ext cx="3482340" cy="15195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39687</xdr:colOff>
      <xdr:row>34</xdr:row>
      <xdr:rowOff>55561</xdr:rowOff>
    </xdr:from>
    <xdr:to>
      <xdr:col>4</xdr:col>
      <xdr:colOff>698502</xdr:colOff>
      <xdr:row>43</xdr:row>
      <xdr:rowOff>149220</xdr:rowOff>
    </xdr:to>
    <xdr:graphicFrame>
      <xdr:nvGraphicFramePr>
        <xdr:cNvPr id="8" name="图表 7"/>
        <xdr:cNvGraphicFramePr/>
      </xdr:nvGraphicFramePr>
      <xdr:xfrm>
        <a:off x="679450" y="5409565"/>
        <a:ext cx="3427730" cy="1510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2:K29"/>
  <sheetViews>
    <sheetView zoomScale="110" zoomScaleNormal="110" workbookViewId="0">
      <selection activeCell="C13" sqref="C13"/>
    </sheetView>
  </sheetViews>
  <sheetFormatPr defaultColWidth="9" defaultRowHeight="12.4"/>
  <cols>
    <col min="2" max="2" width="19" customWidth="1"/>
    <col min="3" max="3" width="14.375" customWidth="1"/>
    <col min="4" max="4" width="20.875" customWidth="1"/>
    <col min="5" max="5" width="14.75" customWidth="1"/>
    <col min="6" max="6" width="2.25" customWidth="1"/>
    <col min="7" max="7" width="5.25" customWidth="1"/>
    <col min="8" max="8" width="19.25" customWidth="1"/>
    <col min="9" max="9" width="19.375" customWidth="1"/>
    <col min="10" max="10" width="13.875" customWidth="1"/>
  </cols>
  <sheetData>
    <row r="2" ht="15.6" spans="1:11">
      <c r="A2" s="137" t="s">
        <v>0</v>
      </c>
      <c r="B2" s="138" t="s">
        <v>1</v>
      </c>
      <c r="C2" s="138" t="s">
        <v>2</v>
      </c>
      <c r="D2" s="138" t="s">
        <v>3</v>
      </c>
      <c r="E2" s="138" t="s">
        <v>4</v>
      </c>
      <c r="G2" s="137" t="s">
        <v>5</v>
      </c>
      <c r="H2" s="138" t="s">
        <v>1</v>
      </c>
      <c r="I2" s="138" t="s">
        <v>2</v>
      </c>
      <c r="J2" s="138" t="s">
        <v>3</v>
      </c>
      <c r="K2" s="138" t="s">
        <v>4</v>
      </c>
    </row>
    <row r="3" spans="2:11">
      <c r="B3" s="139" t="s">
        <v>6</v>
      </c>
      <c r="C3" t="s">
        <v>7</v>
      </c>
      <c r="D3" s="136" t="s">
        <v>8</v>
      </c>
      <c r="E3" s="136" t="s">
        <v>9</v>
      </c>
      <c r="H3" s="139" t="s">
        <v>10</v>
      </c>
      <c r="I3" s="136" t="s">
        <v>11</v>
      </c>
      <c r="J3" s="136" t="s">
        <v>12</v>
      </c>
      <c r="K3" s="136"/>
    </row>
    <row r="4" spans="2:11">
      <c r="B4" s="140"/>
      <c r="C4" s="136" t="s">
        <v>13</v>
      </c>
      <c r="D4" s="136" t="s">
        <v>14</v>
      </c>
      <c r="E4" s="136"/>
      <c r="H4" s="140"/>
      <c r="I4" s="136" t="s">
        <v>15</v>
      </c>
      <c r="J4" s="136" t="s">
        <v>16</v>
      </c>
      <c r="K4" s="136"/>
    </row>
    <row r="5" spans="2:11">
      <c r="B5" s="140"/>
      <c r="C5" s="136" t="s">
        <v>17</v>
      </c>
      <c r="D5" s="136" t="s">
        <v>18</v>
      </c>
      <c r="E5" s="136"/>
      <c r="H5" s="140"/>
      <c r="I5" s="136" t="s">
        <v>19</v>
      </c>
      <c r="J5" s="136" t="s">
        <v>20</v>
      </c>
      <c r="K5" s="136"/>
    </row>
    <row r="6" spans="2:11">
      <c r="B6" s="140"/>
      <c r="C6" s="136" t="s">
        <v>21</v>
      </c>
      <c r="D6" s="136" t="s">
        <v>22</v>
      </c>
      <c r="E6" s="136"/>
      <c r="H6" s="140"/>
      <c r="I6" s="136" t="s">
        <v>23</v>
      </c>
      <c r="J6" s="136" t="s">
        <v>24</v>
      </c>
      <c r="K6" s="136"/>
    </row>
    <row r="7" spans="2:11">
      <c r="B7" s="140"/>
      <c r="C7" s="136" t="s">
        <v>25</v>
      </c>
      <c r="D7" s="136" t="s">
        <v>26</v>
      </c>
      <c r="E7" s="136"/>
      <c r="H7" s="140"/>
      <c r="I7" s="136" t="s">
        <v>27</v>
      </c>
      <c r="J7" s="136" t="s">
        <v>28</v>
      </c>
      <c r="K7" s="136"/>
    </row>
    <row r="8" spans="2:11">
      <c r="B8" s="140"/>
      <c r="C8" s="136" t="s">
        <v>29</v>
      </c>
      <c r="D8" s="136" t="s">
        <v>30</v>
      </c>
      <c r="E8" s="136"/>
      <c r="H8" s="140"/>
      <c r="I8" s="136" t="s">
        <v>31</v>
      </c>
      <c r="J8" s="136" t="s">
        <v>32</v>
      </c>
      <c r="K8" s="136"/>
    </row>
    <row r="9" spans="2:11">
      <c r="B9" s="141"/>
      <c r="C9" s="136" t="s">
        <v>33</v>
      </c>
      <c r="D9" s="136" t="s">
        <v>34</v>
      </c>
      <c r="E9" s="136"/>
      <c r="H9" s="141"/>
      <c r="I9" s="136" t="s">
        <v>35</v>
      </c>
      <c r="J9" s="136" t="s">
        <v>36</v>
      </c>
      <c r="K9" s="136"/>
    </row>
    <row r="10" spans="1:11">
      <c r="A10" s="142" t="s">
        <v>37</v>
      </c>
      <c r="K10" s="136"/>
    </row>
    <row r="11" spans="8:8">
      <c r="H11" s="144"/>
    </row>
    <row r="12" ht="15.6" spans="2:11">
      <c r="B12" s="138" t="s">
        <v>1</v>
      </c>
      <c r="C12" s="138" t="s">
        <v>2</v>
      </c>
      <c r="D12" s="138" t="s">
        <v>3</v>
      </c>
      <c r="E12" s="138" t="s">
        <v>4</v>
      </c>
      <c r="H12" s="138" t="s">
        <v>1</v>
      </c>
      <c r="I12" s="138" t="s">
        <v>2</v>
      </c>
      <c r="J12" s="138" t="s">
        <v>3</v>
      </c>
      <c r="K12" s="138" t="s">
        <v>4</v>
      </c>
    </row>
    <row r="13" spans="2:11">
      <c r="B13" s="139" t="s">
        <v>38</v>
      </c>
      <c r="C13" s="136" t="s">
        <v>7</v>
      </c>
      <c r="D13" s="136" t="s">
        <v>8</v>
      </c>
      <c r="E13" s="136" t="s">
        <v>9</v>
      </c>
      <c r="H13" s="139" t="s">
        <v>39</v>
      </c>
      <c r="I13" s="136" t="s">
        <v>13</v>
      </c>
      <c r="J13" s="136" t="s">
        <v>40</v>
      </c>
      <c r="K13" s="136"/>
    </row>
    <row r="14" spans="2:11">
      <c r="B14" s="140"/>
      <c r="C14" s="136" t="s">
        <v>41</v>
      </c>
      <c r="D14" s="136" t="s">
        <v>42</v>
      </c>
      <c r="E14" s="136"/>
      <c r="H14" s="141"/>
      <c r="I14" s="136" t="s">
        <v>43</v>
      </c>
      <c r="J14" s="136" t="s">
        <v>44</v>
      </c>
      <c r="K14" s="136"/>
    </row>
    <row r="15" spans="2:5">
      <c r="B15" s="140"/>
      <c r="C15" s="143" t="s">
        <v>43</v>
      </c>
      <c r="D15" s="143" t="s">
        <v>44</v>
      </c>
      <c r="E15" s="136"/>
    </row>
    <row r="16" spans="2:5">
      <c r="B16" s="140"/>
      <c r="C16" s="136" t="s">
        <v>11</v>
      </c>
      <c r="D16" s="136" t="s">
        <v>12</v>
      </c>
      <c r="E16" s="136"/>
    </row>
    <row r="17" ht="15.6" spans="2:11">
      <c r="B17" s="140"/>
      <c r="C17" s="136" t="s">
        <v>45</v>
      </c>
      <c r="D17" s="136" t="s">
        <v>46</v>
      </c>
      <c r="E17" s="136"/>
      <c r="H17" s="138" t="s">
        <v>1</v>
      </c>
      <c r="I17" s="138" t="s">
        <v>2</v>
      </c>
      <c r="J17" s="138" t="s">
        <v>3</v>
      </c>
      <c r="K17" s="138" t="s">
        <v>4</v>
      </c>
    </row>
    <row r="18" spans="2:11">
      <c r="B18" s="140"/>
      <c r="C18" s="136" t="s">
        <v>47</v>
      </c>
      <c r="D18" s="136" t="s">
        <v>48</v>
      </c>
      <c r="E18" s="136"/>
      <c r="H18" s="116" t="s">
        <v>49</v>
      </c>
      <c r="I18" s="136" t="s">
        <v>25</v>
      </c>
      <c r="J18" s="136" t="s">
        <v>50</v>
      </c>
      <c r="K18" s="136"/>
    </row>
    <row r="19" spans="2:11">
      <c r="B19" s="140"/>
      <c r="C19" s="136" t="s">
        <v>51</v>
      </c>
      <c r="D19" s="136" t="s">
        <v>52</v>
      </c>
      <c r="E19" s="136"/>
      <c r="H19" s="118"/>
      <c r="I19" s="136" t="s">
        <v>53</v>
      </c>
      <c r="J19" s="136" t="s">
        <v>54</v>
      </c>
      <c r="K19" s="136"/>
    </row>
    <row r="20" spans="2:11">
      <c r="B20" s="140"/>
      <c r="C20" s="136" t="s">
        <v>55</v>
      </c>
      <c r="D20" s="136" t="s">
        <v>56</v>
      </c>
      <c r="E20" s="136" t="s">
        <v>57</v>
      </c>
      <c r="H20" s="118"/>
      <c r="I20" s="136" t="s">
        <v>58</v>
      </c>
      <c r="J20" s="136" t="s">
        <v>59</v>
      </c>
      <c r="K20" s="136"/>
    </row>
    <row r="21" spans="2:11">
      <c r="B21" s="140"/>
      <c r="C21" s="143" t="s">
        <v>60</v>
      </c>
      <c r="D21" s="143" t="s">
        <v>61</v>
      </c>
      <c r="E21" s="143" t="s">
        <v>62</v>
      </c>
      <c r="H21" s="120"/>
      <c r="I21" s="136" t="s">
        <v>63</v>
      </c>
      <c r="J21" s="136" t="s">
        <v>64</v>
      </c>
      <c r="K21" s="136"/>
    </row>
    <row r="22" spans="2:5">
      <c r="B22" s="140"/>
      <c r="C22" s="136" t="s">
        <v>29</v>
      </c>
      <c r="D22" s="136" t="s">
        <v>30</v>
      </c>
      <c r="E22" s="136"/>
    </row>
    <row r="23" spans="2:5">
      <c r="B23" s="141"/>
      <c r="C23" s="136" t="s">
        <v>33</v>
      </c>
      <c r="D23" s="136" t="s">
        <v>34</v>
      </c>
      <c r="E23" s="136"/>
    </row>
    <row r="24" spans="1:1">
      <c r="A24" s="142" t="s">
        <v>65</v>
      </c>
    </row>
    <row r="25" ht="15.6" spans="8:11">
      <c r="H25" s="138" t="s">
        <v>1</v>
      </c>
      <c r="I25" s="138" t="s">
        <v>2</v>
      </c>
      <c r="J25" s="138" t="s">
        <v>3</v>
      </c>
      <c r="K25" s="138" t="s">
        <v>4</v>
      </c>
    </row>
    <row r="26" spans="8:11">
      <c r="H26" s="139" t="s">
        <v>66</v>
      </c>
      <c r="I26" s="136" t="s">
        <v>25</v>
      </c>
      <c r="J26" s="136" t="s">
        <v>50</v>
      </c>
      <c r="K26" s="136"/>
    </row>
    <row r="27" spans="8:11">
      <c r="H27" s="140"/>
      <c r="I27" s="136" t="s">
        <v>53</v>
      </c>
      <c r="J27" s="136" t="s">
        <v>54</v>
      </c>
      <c r="K27" s="136"/>
    </row>
    <row r="28" spans="8:11">
      <c r="H28" s="140"/>
      <c r="I28" s="136" t="s">
        <v>58</v>
      </c>
      <c r="J28" s="136" t="s">
        <v>67</v>
      </c>
      <c r="K28" s="136"/>
    </row>
    <row r="29" spans="8:11">
      <c r="H29" s="141"/>
      <c r="I29" s="136" t="s">
        <v>63</v>
      </c>
      <c r="J29" s="136" t="s">
        <v>64</v>
      </c>
      <c r="K29" s="136"/>
    </row>
  </sheetData>
  <mergeCells count="5">
    <mergeCell ref="B3:B9"/>
    <mergeCell ref="B13:B23"/>
    <mergeCell ref="H3:H9"/>
    <mergeCell ref="H18:H21"/>
    <mergeCell ref="H26:H29"/>
  </mergeCell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29"/>
  <sheetViews>
    <sheetView tabSelected="1" zoomScale="130" zoomScaleNormal="130" topLeftCell="A17" workbookViewId="0">
      <selection activeCell="C29" sqref="C29"/>
    </sheetView>
  </sheetViews>
  <sheetFormatPr defaultColWidth="9" defaultRowHeight="12.4" outlineLevelCol="6"/>
  <cols>
    <col min="1" max="1" width="9.75" customWidth="1"/>
    <col min="2" max="2" width="15.5" customWidth="1"/>
    <col min="3" max="3" width="30.0982142857143" customWidth="1"/>
    <col min="4" max="4" width="10.5" customWidth="1"/>
    <col min="5" max="5" width="18" customWidth="1"/>
    <col min="6" max="6" width="20.125" customWidth="1"/>
    <col min="7" max="7" width="112" customWidth="1"/>
    <col min="8" max="8" width="15.125" customWidth="1"/>
    <col min="10" max="10" width="10.875" customWidth="1"/>
    <col min="11" max="11" width="14.875" customWidth="1"/>
    <col min="12" max="12" width="16.25" customWidth="1"/>
    <col min="13" max="13" width="12.875" customWidth="1"/>
  </cols>
  <sheetData>
    <row r="1" spans="1:1">
      <c r="A1" s="101" t="s">
        <v>68</v>
      </c>
    </row>
    <row r="2" spans="1:1">
      <c r="A2" s="101"/>
    </row>
    <row r="3" ht="17.2" spans="1:7">
      <c r="A3" s="102" t="s">
        <v>69</v>
      </c>
      <c r="B3" s="103"/>
      <c r="C3" s="103"/>
      <c r="D3" s="103"/>
      <c r="E3" s="103"/>
      <c r="F3" s="103"/>
      <c r="G3" s="103"/>
    </row>
    <row r="4" ht="15.6" spans="1:7">
      <c r="A4" s="104" t="s">
        <v>70</v>
      </c>
      <c r="B4" s="104" t="s">
        <v>71</v>
      </c>
      <c r="C4" s="104" t="s">
        <v>72</v>
      </c>
      <c r="D4" s="104" t="s">
        <v>73</v>
      </c>
      <c r="E4" s="104" t="s">
        <v>74</v>
      </c>
      <c r="F4" s="104" t="s">
        <v>75</v>
      </c>
      <c r="G4" s="104" t="s">
        <v>76</v>
      </c>
    </row>
    <row r="5" spans="1:7">
      <c r="A5" s="105" t="s">
        <v>77</v>
      </c>
      <c r="B5" s="106" t="s">
        <v>78</v>
      </c>
      <c r="C5" s="106" t="s">
        <v>79</v>
      </c>
      <c r="D5" s="106" t="s">
        <v>80</v>
      </c>
      <c r="E5" s="121" t="s">
        <v>81</v>
      </c>
      <c r="F5" s="121" t="s">
        <v>82</v>
      </c>
      <c r="G5" s="106" t="s">
        <v>83</v>
      </c>
    </row>
    <row r="6" spans="1:7">
      <c r="A6" s="107"/>
      <c r="B6" s="108" t="s">
        <v>84</v>
      </c>
      <c r="C6" s="106" t="s">
        <v>85</v>
      </c>
      <c r="D6" s="106" t="s">
        <v>80</v>
      </c>
      <c r="E6" s="122"/>
      <c r="F6" s="123"/>
      <c r="G6" s="106" t="s">
        <v>86</v>
      </c>
    </row>
    <row r="7" spans="1:7">
      <c r="A7" s="107"/>
      <c r="B7" s="106" t="s">
        <v>87</v>
      </c>
      <c r="C7" s="106" t="s">
        <v>79</v>
      </c>
      <c r="D7" s="106" t="s">
        <v>88</v>
      </c>
      <c r="E7" s="122"/>
      <c r="F7" s="121" t="s">
        <v>89</v>
      </c>
      <c r="G7" s="106" t="s">
        <v>90</v>
      </c>
    </row>
    <row r="8" spans="1:7">
      <c r="A8" s="107"/>
      <c r="B8" s="108" t="s">
        <v>91</v>
      </c>
      <c r="C8" s="106" t="s">
        <v>85</v>
      </c>
      <c r="D8" s="106" t="s">
        <v>88</v>
      </c>
      <c r="E8" s="122"/>
      <c r="F8" s="122"/>
      <c r="G8" s="106" t="s">
        <v>92</v>
      </c>
    </row>
    <row r="9" spans="1:7">
      <c r="A9" s="107"/>
      <c r="B9" s="109" t="s">
        <v>93</v>
      </c>
      <c r="C9" s="109" t="s">
        <v>79</v>
      </c>
      <c r="D9" s="109" t="s">
        <v>94</v>
      </c>
      <c r="E9" s="122"/>
      <c r="F9" s="122"/>
      <c r="G9" s="109" t="s">
        <v>95</v>
      </c>
    </row>
    <row r="10" spans="1:7">
      <c r="A10" s="107"/>
      <c r="B10" s="110" t="s">
        <v>96</v>
      </c>
      <c r="C10" s="109" t="s">
        <v>85</v>
      </c>
      <c r="D10" s="109" t="s">
        <v>94</v>
      </c>
      <c r="E10" s="122"/>
      <c r="F10" s="122"/>
      <c r="G10" s="109" t="s">
        <v>97</v>
      </c>
    </row>
    <row r="11" spans="1:7">
      <c r="A11" s="107"/>
      <c r="B11" s="109" t="s">
        <v>98</v>
      </c>
      <c r="C11" s="109" t="s">
        <v>79</v>
      </c>
      <c r="D11" s="109" t="s">
        <v>94</v>
      </c>
      <c r="E11" s="122"/>
      <c r="F11" s="122"/>
      <c r="G11" s="109" t="s">
        <v>99</v>
      </c>
    </row>
    <row r="12" spans="1:7">
      <c r="A12" s="107"/>
      <c r="B12" s="109" t="s">
        <v>100</v>
      </c>
      <c r="C12" s="109" t="s">
        <v>85</v>
      </c>
      <c r="D12" s="109" t="s">
        <v>94</v>
      </c>
      <c r="E12" s="122"/>
      <c r="F12" s="122"/>
      <c r="G12" s="109" t="s">
        <v>101</v>
      </c>
    </row>
    <row r="13" spans="1:7">
      <c r="A13" s="107"/>
      <c r="B13" s="109" t="s">
        <v>102</v>
      </c>
      <c r="C13" s="109" t="s">
        <v>79</v>
      </c>
      <c r="D13" s="109" t="s">
        <v>94</v>
      </c>
      <c r="E13" s="122"/>
      <c r="F13" s="122"/>
      <c r="G13" s="109" t="s">
        <v>103</v>
      </c>
    </row>
    <row r="14" spans="1:7">
      <c r="A14" s="107"/>
      <c r="B14" s="109" t="s">
        <v>104</v>
      </c>
      <c r="C14" s="109" t="s">
        <v>85</v>
      </c>
      <c r="D14" s="109" t="s">
        <v>94</v>
      </c>
      <c r="E14" s="122"/>
      <c r="F14" s="122"/>
      <c r="G14" s="109" t="s">
        <v>105</v>
      </c>
    </row>
    <row r="15" spans="1:7">
      <c r="A15" s="107"/>
      <c r="B15" s="109" t="s">
        <v>106</v>
      </c>
      <c r="C15" s="109" t="s">
        <v>79</v>
      </c>
      <c r="D15" s="109" t="s">
        <v>94</v>
      </c>
      <c r="E15" s="122"/>
      <c r="F15" s="122"/>
      <c r="G15" s="109" t="s">
        <v>107</v>
      </c>
    </row>
    <row r="16" spans="1:7">
      <c r="A16" s="111"/>
      <c r="B16" s="109" t="s">
        <v>108</v>
      </c>
      <c r="C16" s="109" t="s">
        <v>79</v>
      </c>
      <c r="D16" s="109" t="s">
        <v>94</v>
      </c>
      <c r="E16" s="123"/>
      <c r="F16" s="123"/>
      <c r="G16" s="109" t="s">
        <v>109</v>
      </c>
    </row>
    <row r="17" spans="1:7">
      <c r="A17" s="112" t="s">
        <v>110</v>
      </c>
      <c r="B17" s="113" t="s">
        <v>111</v>
      </c>
      <c r="C17" s="113" t="s">
        <v>79</v>
      </c>
      <c r="D17" s="113" t="s">
        <v>88</v>
      </c>
      <c r="E17" s="124" t="s">
        <v>81</v>
      </c>
      <c r="F17" s="125" t="s">
        <v>89</v>
      </c>
      <c r="G17" s="113" t="s">
        <v>112</v>
      </c>
    </row>
    <row r="18" spans="1:7">
      <c r="A18" s="114"/>
      <c r="B18" s="113" t="s">
        <v>113</v>
      </c>
      <c r="C18" s="113" t="s">
        <v>79</v>
      </c>
      <c r="D18" s="113" t="s">
        <v>88</v>
      </c>
      <c r="E18" s="126"/>
      <c r="F18" s="127"/>
      <c r="G18" s="113" t="s">
        <v>114</v>
      </c>
    </row>
    <row r="19" spans="1:7">
      <c r="A19" s="114"/>
      <c r="B19" s="113" t="s">
        <v>115</v>
      </c>
      <c r="C19" s="113" t="s">
        <v>79</v>
      </c>
      <c r="D19" s="113" t="s">
        <v>80</v>
      </c>
      <c r="E19" s="126"/>
      <c r="F19" s="125" t="s">
        <v>82</v>
      </c>
      <c r="G19" s="113" t="s">
        <v>116</v>
      </c>
    </row>
    <row r="20" spans="1:7">
      <c r="A20" s="114"/>
      <c r="B20" s="113" t="s">
        <v>117</v>
      </c>
      <c r="C20" s="113" t="s">
        <v>118</v>
      </c>
      <c r="D20" s="113" t="s">
        <v>88</v>
      </c>
      <c r="E20" s="126"/>
      <c r="F20" s="128"/>
      <c r="G20" s="113" t="s">
        <v>119</v>
      </c>
    </row>
    <row r="21" spans="1:7">
      <c r="A21" s="114"/>
      <c r="B21" s="113" t="s">
        <v>120</v>
      </c>
      <c r="C21" s="113" t="s">
        <v>121</v>
      </c>
      <c r="D21" s="113" t="s">
        <v>88</v>
      </c>
      <c r="E21" s="126"/>
      <c r="F21" s="128"/>
      <c r="G21" s="113" t="s">
        <v>122</v>
      </c>
    </row>
    <row r="22" spans="1:7">
      <c r="A22" s="114"/>
      <c r="B22" s="113" t="s">
        <v>123</v>
      </c>
      <c r="C22" s="113" t="s">
        <v>124</v>
      </c>
      <c r="D22" s="113" t="s">
        <v>80</v>
      </c>
      <c r="E22" s="126"/>
      <c r="F22" s="128"/>
      <c r="G22" s="113" t="s">
        <v>125</v>
      </c>
    </row>
    <row r="23" spans="1:7">
      <c r="A23" s="115"/>
      <c r="B23" s="113" t="s">
        <v>126</v>
      </c>
      <c r="C23" s="113" t="s">
        <v>127</v>
      </c>
      <c r="D23" s="113" t="s">
        <v>80</v>
      </c>
      <c r="E23" s="129"/>
      <c r="F23" s="127"/>
      <c r="G23" s="113" t="s">
        <v>128</v>
      </c>
    </row>
    <row r="24" spans="1:7">
      <c r="A24" s="116" t="s">
        <v>129</v>
      </c>
      <c r="B24" s="117" t="s">
        <v>130</v>
      </c>
      <c r="C24" s="117" t="s">
        <v>131</v>
      </c>
      <c r="D24" s="117" t="s">
        <v>88</v>
      </c>
      <c r="E24" s="130" t="s">
        <v>81</v>
      </c>
      <c r="F24" s="131" t="s">
        <v>82</v>
      </c>
      <c r="G24" s="117" t="s">
        <v>132</v>
      </c>
    </row>
    <row r="25" spans="1:7">
      <c r="A25" s="118"/>
      <c r="B25" s="117" t="s">
        <v>133</v>
      </c>
      <c r="C25" s="117" t="s">
        <v>134</v>
      </c>
      <c r="D25" s="117" t="s">
        <v>88</v>
      </c>
      <c r="E25" s="132"/>
      <c r="F25" s="133"/>
      <c r="G25" s="117" t="s">
        <v>135</v>
      </c>
    </row>
    <row r="26" spans="1:7">
      <c r="A26" s="118"/>
      <c r="B26" s="110" t="s">
        <v>136</v>
      </c>
      <c r="C26" s="117" t="s">
        <v>137</v>
      </c>
      <c r="D26" s="117" t="s">
        <v>88</v>
      </c>
      <c r="E26" s="132"/>
      <c r="F26" s="133"/>
      <c r="G26" s="117" t="s">
        <v>138</v>
      </c>
    </row>
    <row r="27" spans="1:7">
      <c r="A27" s="118"/>
      <c r="B27" s="110" t="s">
        <v>139</v>
      </c>
      <c r="C27" s="117" t="s">
        <v>140</v>
      </c>
      <c r="D27" s="117" t="s">
        <v>88</v>
      </c>
      <c r="E27" s="132"/>
      <c r="F27" s="134"/>
      <c r="G27" s="117" t="s">
        <v>140</v>
      </c>
    </row>
    <row r="28" spans="1:7">
      <c r="A28" s="118"/>
      <c r="B28" s="119" t="s">
        <v>141</v>
      </c>
      <c r="C28" s="117" t="s">
        <v>142</v>
      </c>
      <c r="D28" s="117" t="s">
        <v>94</v>
      </c>
      <c r="E28" s="132"/>
      <c r="F28" s="131" t="s">
        <v>89</v>
      </c>
      <c r="G28" s="117" t="s">
        <v>143</v>
      </c>
    </row>
    <row r="29" spans="1:7">
      <c r="A29" s="120"/>
      <c r="B29" s="119" t="s">
        <v>144</v>
      </c>
      <c r="C29" s="117" t="s">
        <v>145</v>
      </c>
      <c r="D29" s="117" t="s">
        <v>94</v>
      </c>
      <c r="E29" s="135"/>
      <c r="F29" s="134"/>
      <c r="G29" s="136"/>
    </row>
  </sheetData>
  <mergeCells count="13">
    <mergeCell ref="A3:G3"/>
    <mergeCell ref="A5:A16"/>
    <mergeCell ref="A17:A23"/>
    <mergeCell ref="A24:A29"/>
    <mergeCell ref="E5:E16"/>
    <mergeCell ref="E17:E23"/>
    <mergeCell ref="E24:E29"/>
    <mergeCell ref="F5:F6"/>
    <mergeCell ref="F7:F16"/>
    <mergeCell ref="F17:F18"/>
    <mergeCell ref="F19:F23"/>
    <mergeCell ref="F24:F27"/>
    <mergeCell ref="F28:F29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59"/>
  <sheetViews>
    <sheetView zoomScale="110" zoomScaleNormal="110" workbookViewId="0">
      <selection activeCell="B3" sqref="B3"/>
    </sheetView>
  </sheetViews>
  <sheetFormatPr defaultColWidth="9" defaultRowHeight="12.4"/>
  <cols>
    <col min="1" max="2" width="9" style="1"/>
    <col min="3" max="3" width="24.5" style="1" customWidth="1"/>
    <col min="4" max="4" width="14.375" style="1" customWidth="1"/>
    <col min="5" max="5" width="24" style="1" customWidth="1"/>
    <col min="6" max="6" width="9" style="1"/>
    <col min="7" max="7" width="22" style="1" customWidth="1"/>
    <col min="8" max="8" width="9.5" style="1" customWidth="1"/>
    <col min="9" max="9" width="24.5" style="1" customWidth="1"/>
    <col min="10" max="16384" width="9" style="1"/>
  </cols>
  <sheetData>
    <row r="1" ht="12.8" spans="1:1">
      <c r="A1" s="95" t="s">
        <v>146</v>
      </c>
    </row>
    <row r="2" spans="1:2">
      <c r="A2" s="4" t="s">
        <v>147</v>
      </c>
      <c r="B2" s="4" t="s">
        <v>148</v>
      </c>
    </row>
    <row r="3" spans="1:2">
      <c r="A3" s="4"/>
      <c r="B3" s="4" t="s">
        <v>149</v>
      </c>
    </row>
    <row r="4" spans="2:2">
      <c r="B4" s="4" t="s">
        <v>150</v>
      </c>
    </row>
    <row r="5" spans="2:2">
      <c r="B5" s="4"/>
    </row>
    <row r="6" ht="13.6" spans="1:9">
      <c r="A6" s="76" t="s">
        <v>151</v>
      </c>
      <c r="C6" s="76" t="s">
        <v>152</v>
      </c>
      <c r="E6" s="76" t="s">
        <v>153</v>
      </c>
      <c r="G6" s="97" t="s">
        <v>154</v>
      </c>
      <c r="I6" s="97" t="s">
        <v>155</v>
      </c>
    </row>
    <row r="7" spans="3:9">
      <c r="C7" s="77" t="s">
        <v>156</v>
      </c>
      <c r="E7" s="77" t="s">
        <v>156</v>
      </c>
      <c r="G7" s="77" t="s">
        <v>156</v>
      </c>
      <c r="I7" s="77" t="s">
        <v>156</v>
      </c>
    </row>
    <row r="8" spans="3:9">
      <c r="C8" s="77" t="s">
        <v>157</v>
      </c>
      <c r="E8" s="77" t="s">
        <v>157</v>
      </c>
      <c r="G8" s="77" t="s">
        <v>157</v>
      </c>
      <c r="I8" s="77" t="s">
        <v>157</v>
      </c>
    </row>
    <row r="9" ht="28" spans="3:9">
      <c r="C9" s="78" t="s">
        <v>158</v>
      </c>
      <c r="E9" s="78" t="s">
        <v>159</v>
      </c>
      <c r="G9" s="78" t="s">
        <v>160</v>
      </c>
      <c r="I9" s="78" t="s">
        <v>161</v>
      </c>
    </row>
    <row r="10" spans="3:9">
      <c r="C10" s="77" t="s">
        <v>162</v>
      </c>
      <c r="E10" s="77" t="s">
        <v>162</v>
      </c>
      <c r="G10" s="77" t="s">
        <v>162</v>
      </c>
      <c r="I10" s="77" t="s">
        <v>162</v>
      </c>
    </row>
    <row r="11" spans="3:9">
      <c r="C11" s="77" t="s">
        <v>163</v>
      </c>
      <c r="E11" s="77" t="s">
        <v>163</v>
      </c>
      <c r="G11" s="77" t="s">
        <v>163</v>
      </c>
      <c r="I11" s="77" t="s">
        <v>163</v>
      </c>
    </row>
    <row r="14" ht="13.6" spans="3:5">
      <c r="C14" s="76" t="s">
        <v>164</v>
      </c>
      <c r="E14" s="76" t="s">
        <v>165</v>
      </c>
    </row>
    <row r="15" spans="3:5">
      <c r="C15" s="77" t="s">
        <v>156</v>
      </c>
      <c r="E15" s="77" t="s">
        <v>156</v>
      </c>
    </row>
    <row r="16" spans="3:5">
      <c r="C16" s="77" t="s">
        <v>157</v>
      </c>
      <c r="E16" s="77" t="s">
        <v>157</v>
      </c>
    </row>
    <row r="17" ht="28" spans="3:5">
      <c r="C17" s="78" t="s">
        <v>166</v>
      </c>
      <c r="E17" s="78" t="s">
        <v>166</v>
      </c>
    </row>
    <row r="18" spans="3:5">
      <c r="C18" s="77" t="s">
        <v>162</v>
      </c>
      <c r="E18" s="77" t="s">
        <v>162</v>
      </c>
    </row>
    <row r="19" spans="3:5">
      <c r="C19" s="77" t="s">
        <v>163</v>
      </c>
      <c r="E19" s="77" t="s">
        <v>163</v>
      </c>
    </row>
    <row r="23" ht="13.6" spans="1:9">
      <c r="A23" s="76" t="s">
        <v>167</v>
      </c>
      <c r="C23" s="76" t="s">
        <v>168</v>
      </c>
      <c r="E23" s="76" t="s">
        <v>169</v>
      </c>
      <c r="G23" s="97" t="s">
        <v>170</v>
      </c>
      <c r="I23" s="97" t="s">
        <v>171</v>
      </c>
    </row>
    <row r="24" spans="3:9">
      <c r="C24" s="77" t="s">
        <v>156</v>
      </c>
      <c r="E24" s="77" t="s">
        <v>156</v>
      </c>
      <c r="G24" s="77" t="s">
        <v>156</v>
      </c>
      <c r="I24" s="77" t="s">
        <v>156</v>
      </c>
    </row>
    <row r="25" spans="3:9">
      <c r="C25" s="77" t="s">
        <v>157</v>
      </c>
      <c r="E25" s="77" t="s">
        <v>157</v>
      </c>
      <c r="G25" s="77" t="s">
        <v>157</v>
      </c>
      <c r="I25" s="77" t="s">
        <v>157</v>
      </c>
    </row>
    <row r="26" ht="28" spans="3:9">
      <c r="C26" s="78" t="s">
        <v>172</v>
      </c>
      <c r="E26" s="79" t="s">
        <v>173</v>
      </c>
      <c r="G26" s="78" t="s">
        <v>174</v>
      </c>
      <c r="I26" s="78" t="s">
        <v>175</v>
      </c>
    </row>
    <row r="27" spans="3:9">
      <c r="C27" s="77" t="s">
        <v>162</v>
      </c>
      <c r="E27" s="77" t="s">
        <v>162</v>
      </c>
      <c r="G27" s="77" t="s">
        <v>162</v>
      </c>
      <c r="I27" s="77" t="s">
        <v>162</v>
      </c>
    </row>
    <row r="28" spans="3:9">
      <c r="C28" s="77" t="s">
        <v>163</v>
      </c>
      <c r="E28" s="77" t="s">
        <v>163</v>
      </c>
      <c r="G28" s="77" t="s">
        <v>163</v>
      </c>
      <c r="I28" s="77" t="s">
        <v>163</v>
      </c>
    </row>
    <row r="31" ht="13.6" spans="3:5">
      <c r="C31" s="76" t="s">
        <v>176</v>
      </c>
      <c r="E31" s="76" t="s">
        <v>177</v>
      </c>
    </row>
    <row r="32" spans="3:5">
      <c r="C32" s="77" t="s">
        <v>156</v>
      </c>
      <c r="E32" s="77" t="s">
        <v>156</v>
      </c>
    </row>
    <row r="33" spans="3:5">
      <c r="C33" s="77" t="s">
        <v>157</v>
      </c>
      <c r="E33" s="77" t="s">
        <v>157</v>
      </c>
    </row>
    <row r="34" ht="28" spans="3:5">
      <c r="C34" s="79" t="s">
        <v>173</v>
      </c>
      <c r="E34" s="78" t="s">
        <v>166</v>
      </c>
    </row>
    <row r="35" spans="3:5">
      <c r="C35" s="77" t="s">
        <v>162</v>
      </c>
      <c r="E35" s="77" t="s">
        <v>162</v>
      </c>
    </row>
    <row r="36" spans="3:5">
      <c r="C36" s="77" t="s">
        <v>163</v>
      </c>
      <c r="E36" s="77" t="s">
        <v>163</v>
      </c>
    </row>
    <row r="39" ht="13.6" spans="1:7">
      <c r="A39" s="76" t="s">
        <v>178</v>
      </c>
      <c r="C39" s="96" t="s">
        <v>179</v>
      </c>
      <c r="G39" s="96" t="s">
        <v>180</v>
      </c>
    </row>
    <row r="40" spans="3:7">
      <c r="C40" s="1" t="s">
        <v>156</v>
      </c>
      <c r="G40" s="1" t="s">
        <v>156</v>
      </c>
    </row>
    <row r="51" spans="3:9">
      <c r="C51" s="6"/>
      <c r="D51" s="6"/>
      <c r="E51" s="6"/>
      <c r="G51" s="6"/>
      <c r="H51" s="6"/>
      <c r="I51" s="6"/>
    </row>
    <row r="52" spans="1:10">
      <c r="A52" s="7"/>
      <c r="B52" s="7"/>
      <c r="C52" s="72" t="s">
        <v>30</v>
      </c>
      <c r="D52" s="72" t="s">
        <v>181</v>
      </c>
      <c r="E52" s="72" t="s">
        <v>182</v>
      </c>
      <c r="F52" s="21"/>
      <c r="G52" s="98" t="s">
        <v>183</v>
      </c>
      <c r="H52" s="72" t="s">
        <v>181</v>
      </c>
      <c r="I52" s="100" t="s">
        <v>182</v>
      </c>
      <c r="J52" s="28"/>
    </row>
    <row r="53" spans="1:10">
      <c r="A53" s="7"/>
      <c r="B53" s="7"/>
      <c r="C53" s="72" t="s">
        <v>184</v>
      </c>
      <c r="D53" s="72">
        <v>100</v>
      </c>
      <c r="E53" s="99">
        <f>D53/SUM($D$53:$D$54)</f>
        <v>0.4</v>
      </c>
      <c r="F53" s="21"/>
      <c r="G53" s="98" t="s">
        <v>185</v>
      </c>
      <c r="H53" s="100">
        <v>100</v>
      </c>
      <c r="I53" s="98">
        <f>H53/SUM($H$53:$H$58)</f>
        <v>0.24390243902439</v>
      </c>
      <c r="J53" s="28"/>
    </row>
    <row r="54" spans="1:10">
      <c r="A54" s="7"/>
      <c r="B54" s="7"/>
      <c r="C54" s="72" t="s">
        <v>186</v>
      </c>
      <c r="D54" s="72">
        <v>150</v>
      </c>
      <c r="E54" s="99">
        <f>D54/SUM($D$53:$D$54)</f>
        <v>0.6</v>
      </c>
      <c r="F54" s="21"/>
      <c r="G54" s="98" t="s">
        <v>187</v>
      </c>
      <c r="H54" s="100">
        <v>150</v>
      </c>
      <c r="I54" s="98">
        <f t="shared" ref="I54:I58" si="0">H54/SUM($H$53:$H$58)</f>
        <v>0.365853658536585</v>
      </c>
      <c r="J54" s="28"/>
    </row>
    <row r="55" spans="3:10">
      <c r="C55" s="13"/>
      <c r="D55" s="13"/>
      <c r="E55" s="13"/>
      <c r="F55" s="7"/>
      <c r="G55" s="98" t="s">
        <v>188</v>
      </c>
      <c r="H55" s="100">
        <v>100</v>
      </c>
      <c r="I55" s="98">
        <f t="shared" si="0"/>
        <v>0.24390243902439</v>
      </c>
      <c r="J55" s="28"/>
    </row>
    <row r="56" spans="6:10">
      <c r="F56" s="7"/>
      <c r="G56" s="98" t="s">
        <v>189</v>
      </c>
      <c r="H56" s="100">
        <v>40</v>
      </c>
      <c r="I56" s="98">
        <f t="shared" si="0"/>
        <v>0.0975609756097561</v>
      </c>
      <c r="J56" s="28"/>
    </row>
    <row r="57" spans="6:10">
      <c r="F57" s="7"/>
      <c r="G57" s="98" t="s">
        <v>190</v>
      </c>
      <c r="H57" s="100">
        <v>10</v>
      </c>
      <c r="I57" s="98">
        <f t="shared" si="0"/>
        <v>0.024390243902439</v>
      </c>
      <c r="J57" s="28"/>
    </row>
    <row r="58" spans="6:10">
      <c r="F58" s="7"/>
      <c r="G58" s="98" t="s">
        <v>191</v>
      </c>
      <c r="H58" s="100">
        <v>10</v>
      </c>
      <c r="I58" s="98">
        <f t="shared" si="0"/>
        <v>0.024390243902439</v>
      </c>
      <c r="J58" s="28"/>
    </row>
    <row r="59" spans="7:9">
      <c r="G59" s="13"/>
      <c r="H59" s="13"/>
      <c r="I59" s="13"/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K64"/>
  <sheetViews>
    <sheetView zoomScale="110" zoomScaleNormal="110" topLeftCell="B37" workbookViewId="0">
      <selection activeCell="G42" sqref="G42"/>
    </sheetView>
  </sheetViews>
  <sheetFormatPr defaultColWidth="9" defaultRowHeight="12.4"/>
  <cols>
    <col min="1" max="2" width="9" style="1"/>
    <col min="3" max="3" width="22.75" style="1" customWidth="1"/>
    <col min="4" max="4" width="12.875" style="1" customWidth="1"/>
    <col min="5" max="5" width="25.125" style="1" customWidth="1"/>
    <col min="6" max="6" width="9" style="1"/>
    <col min="7" max="7" width="25" style="1" customWidth="1"/>
    <col min="8" max="8" width="9" style="1"/>
    <col min="9" max="9" width="24.25" style="1" customWidth="1"/>
    <col min="10" max="10" width="2.125" style="1" customWidth="1"/>
    <col min="11" max="16384" width="9" style="1"/>
  </cols>
  <sheetData>
    <row r="1" spans="1:1">
      <c r="A1" s="2" t="s">
        <v>192</v>
      </c>
    </row>
    <row r="2" spans="1:2">
      <c r="A2" s="4" t="s">
        <v>147</v>
      </c>
      <c r="B2" s="4" t="s">
        <v>193</v>
      </c>
    </row>
    <row r="3" spans="2:2">
      <c r="B3" s="4" t="s">
        <v>194</v>
      </c>
    </row>
    <row r="4" spans="2:2">
      <c r="B4" s="4"/>
    </row>
    <row r="5" ht="13.6" spans="2:9">
      <c r="B5" s="4"/>
      <c r="C5" s="73" t="s">
        <v>195</v>
      </c>
      <c r="D5" s="74"/>
      <c r="E5" s="83" t="s">
        <v>196</v>
      </c>
      <c r="F5" s="74"/>
      <c r="G5" s="73" t="s">
        <v>197</v>
      </c>
      <c r="H5" s="74"/>
      <c r="I5" s="83" t="s">
        <v>196</v>
      </c>
    </row>
    <row r="6" ht="16.4" spans="2:9">
      <c r="B6" s="4"/>
      <c r="C6" s="75"/>
      <c r="D6" s="75"/>
      <c r="E6" s="75"/>
      <c r="F6" s="75"/>
      <c r="G6" s="75"/>
      <c r="H6" s="75"/>
      <c r="I6" s="75"/>
    </row>
    <row r="7" ht="13.6" spans="1:9">
      <c r="A7" s="76" t="s">
        <v>151</v>
      </c>
      <c r="C7" s="76" t="s">
        <v>198</v>
      </c>
      <c r="E7" s="84" t="s">
        <v>199</v>
      </c>
      <c r="G7" s="76" t="s">
        <v>200</v>
      </c>
      <c r="I7" s="84" t="s">
        <v>201</v>
      </c>
    </row>
    <row r="8" spans="3:9">
      <c r="C8" s="77" t="s">
        <v>202</v>
      </c>
      <c r="E8" s="85" t="s">
        <v>203</v>
      </c>
      <c r="G8" s="77" t="s">
        <v>202</v>
      </c>
      <c r="I8" s="85" t="s">
        <v>203</v>
      </c>
    </row>
    <row r="9" spans="3:9">
      <c r="C9" s="77" t="s">
        <v>204</v>
      </c>
      <c r="E9" s="85" t="s">
        <v>204</v>
      </c>
      <c r="G9" s="77" t="s">
        <v>204</v>
      </c>
      <c r="I9" s="85" t="s">
        <v>204</v>
      </c>
    </row>
    <row r="10" ht="28" spans="3:9">
      <c r="C10" s="78" t="s">
        <v>205</v>
      </c>
      <c r="E10" s="86" t="s">
        <v>206</v>
      </c>
      <c r="G10" s="78" t="s">
        <v>207</v>
      </c>
      <c r="I10" s="86" t="s">
        <v>208</v>
      </c>
    </row>
    <row r="14" ht="13.6" spans="3:9">
      <c r="C14" s="76" t="s">
        <v>209</v>
      </c>
      <c r="E14" s="84" t="s">
        <v>210</v>
      </c>
      <c r="G14" s="76" t="s">
        <v>211</v>
      </c>
      <c r="I14" s="84" t="s">
        <v>212</v>
      </c>
    </row>
    <row r="15" spans="3:9">
      <c r="C15" s="77" t="s">
        <v>202</v>
      </c>
      <c r="E15" s="85" t="s">
        <v>203</v>
      </c>
      <c r="G15" s="77" t="s">
        <v>213</v>
      </c>
      <c r="I15" s="85" t="s">
        <v>203</v>
      </c>
    </row>
    <row r="16" spans="3:9">
      <c r="C16" s="77" t="s">
        <v>204</v>
      </c>
      <c r="E16" s="85" t="s">
        <v>204</v>
      </c>
      <c r="G16" s="77" t="s">
        <v>204</v>
      </c>
      <c r="I16" s="85" t="s">
        <v>204</v>
      </c>
    </row>
    <row r="17" ht="28" spans="3:9">
      <c r="C17" s="78" t="s">
        <v>166</v>
      </c>
      <c r="E17" s="86" t="s">
        <v>166</v>
      </c>
      <c r="G17" s="78" t="s">
        <v>166</v>
      </c>
      <c r="I17" s="86" t="s">
        <v>166</v>
      </c>
    </row>
    <row r="21" ht="13.6" spans="3:9">
      <c r="C21" s="76" t="s">
        <v>214</v>
      </c>
      <c r="E21" s="84" t="s">
        <v>215</v>
      </c>
      <c r="G21" s="76" t="s">
        <v>216</v>
      </c>
      <c r="I21" s="84" t="s">
        <v>217</v>
      </c>
    </row>
    <row r="22" spans="3:9">
      <c r="C22" s="77" t="s">
        <v>202</v>
      </c>
      <c r="E22" s="85" t="s">
        <v>203</v>
      </c>
      <c r="G22" s="77" t="s">
        <v>213</v>
      </c>
      <c r="I22" s="85" t="s">
        <v>203</v>
      </c>
    </row>
    <row r="23" spans="3:9">
      <c r="C23" s="77" t="s">
        <v>204</v>
      </c>
      <c r="E23" s="85" t="s">
        <v>204</v>
      </c>
      <c r="G23" s="77" t="s">
        <v>204</v>
      </c>
      <c r="I23" s="85" t="s">
        <v>204</v>
      </c>
    </row>
    <row r="24" ht="28" spans="3:9">
      <c r="C24" s="78" t="s">
        <v>166</v>
      </c>
      <c r="E24" s="86" t="s">
        <v>166</v>
      </c>
      <c r="G24" s="78" t="s">
        <v>166</v>
      </c>
      <c r="I24" s="86" t="s">
        <v>166</v>
      </c>
    </row>
    <row r="28" ht="13.6" spans="1:9">
      <c r="A28" s="76" t="s">
        <v>167</v>
      </c>
      <c r="C28" s="76" t="s">
        <v>218</v>
      </c>
      <c r="E28" s="84" t="s">
        <v>219</v>
      </c>
      <c r="G28" s="76" t="s">
        <v>220</v>
      </c>
      <c r="I28" s="84" t="s">
        <v>221</v>
      </c>
    </row>
    <row r="29" spans="3:9">
      <c r="C29" s="77" t="s">
        <v>202</v>
      </c>
      <c r="E29" s="85" t="s">
        <v>203</v>
      </c>
      <c r="G29" s="77" t="s">
        <v>213</v>
      </c>
      <c r="I29" s="85" t="s">
        <v>203</v>
      </c>
    </row>
    <row r="30" spans="3:9">
      <c r="C30" s="77" t="s">
        <v>204</v>
      </c>
      <c r="E30" s="85" t="s">
        <v>204</v>
      </c>
      <c r="G30" s="77" t="s">
        <v>204</v>
      </c>
      <c r="I30" s="85" t="s">
        <v>204</v>
      </c>
    </row>
    <row r="31" ht="28" spans="3:9">
      <c r="C31" s="78" t="s">
        <v>166</v>
      </c>
      <c r="E31" s="86" t="s">
        <v>166</v>
      </c>
      <c r="G31" s="78" t="s">
        <v>166</v>
      </c>
      <c r="I31" s="86" t="s">
        <v>166</v>
      </c>
    </row>
    <row r="34" ht="13.6" spans="3:9">
      <c r="C34" s="76" t="s">
        <v>222</v>
      </c>
      <c r="E34" s="84" t="s">
        <v>223</v>
      </c>
      <c r="G34" s="76" t="s">
        <v>224</v>
      </c>
      <c r="I34" s="84" t="s">
        <v>225</v>
      </c>
    </row>
    <row r="35" spans="3:9">
      <c r="C35" s="77" t="s">
        <v>202</v>
      </c>
      <c r="E35" s="85" t="s">
        <v>203</v>
      </c>
      <c r="G35" s="77" t="s">
        <v>213</v>
      </c>
      <c r="I35" s="85" t="s">
        <v>203</v>
      </c>
    </row>
    <row r="36" spans="3:9">
      <c r="C36" s="77" t="s">
        <v>204</v>
      </c>
      <c r="E36" s="85" t="s">
        <v>204</v>
      </c>
      <c r="G36" s="77" t="s">
        <v>204</v>
      </c>
      <c r="I36" s="85" t="s">
        <v>204</v>
      </c>
    </row>
    <row r="37" ht="28" spans="3:9">
      <c r="C37" s="79" t="s">
        <v>173</v>
      </c>
      <c r="E37" s="87" t="s">
        <v>173</v>
      </c>
      <c r="G37" s="79" t="s">
        <v>173</v>
      </c>
      <c r="I37" s="87" t="s">
        <v>173</v>
      </c>
    </row>
    <row r="41" ht="18" customHeight="1" spans="3:10">
      <c r="C41" s="6"/>
      <c r="D41" s="80"/>
      <c r="E41" s="6"/>
      <c r="G41" s="6"/>
      <c r="H41" s="6"/>
      <c r="I41" s="6"/>
      <c r="J41" s="6"/>
    </row>
    <row r="42" ht="14.4" spans="1:11">
      <c r="A42" s="7"/>
      <c r="B42" s="7"/>
      <c r="C42" s="81" t="s">
        <v>226</v>
      </c>
      <c r="D42" s="9"/>
      <c r="E42" s="20"/>
      <c r="F42" s="21"/>
      <c r="G42" s="81" t="s">
        <v>227</v>
      </c>
      <c r="H42" s="9"/>
      <c r="I42" s="44"/>
      <c r="J42" s="91"/>
      <c r="K42" s="28"/>
    </row>
    <row r="43" spans="1:11">
      <c r="A43" s="7"/>
      <c r="B43" s="7"/>
      <c r="C43" s="10" t="s">
        <v>228</v>
      </c>
      <c r="E43" s="23"/>
      <c r="F43" s="21"/>
      <c r="G43" s="10" t="s">
        <v>228</v>
      </c>
      <c r="I43" s="28"/>
      <c r="J43" s="92"/>
      <c r="K43" s="28"/>
    </row>
    <row r="44" spans="1:11">
      <c r="A44" s="7"/>
      <c r="B44" s="7"/>
      <c r="C44" s="10"/>
      <c r="E44" s="23"/>
      <c r="F44" s="21"/>
      <c r="G44" s="10"/>
      <c r="I44" s="28"/>
      <c r="J44" s="92"/>
      <c r="K44" s="28"/>
    </row>
    <row r="45" spans="1:11">
      <c r="A45" s="7"/>
      <c r="B45" s="7"/>
      <c r="C45" s="10"/>
      <c r="E45" s="23"/>
      <c r="F45" s="21"/>
      <c r="G45" s="10"/>
      <c r="I45" s="28"/>
      <c r="J45" s="92"/>
      <c r="K45" s="28"/>
    </row>
    <row r="46" spans="1:11">
      <c r="A46" s="7"/>
      <c r="B46" s="7"/>
      <c r="C46" s="10"/>
      <c r="E46" s="23"/>
      <c r="F46" s="21"/>
      <c r="G46" s="10"/>
      <c r="I46" s="28"/>
      <c r="J46" s="92"/>
      <c r="K46" s="28"/>
    </row>
    <row r="47" spans="1:11">
      <c r="A47" s="7"/>
      <c r="B47" s="7"/>
      <c r="C47" s="10"/>
      <c r="E47" s="23"/>
      <c r="F47" s="21"/>
      <c r="G47" s="10"/>
      <c r="I47" s="28"/>
      <c r="J47" s="92"/>
      <c r="K47" s="28"/>
    </row>
    <row r="48" spans="1:11">
      <c r="A48" s="7"/>
      <c r="B48" s="7"/>
      <c r="C48" s="10"/>
      <c r="E48" s="23"/>
      <c r="F48" s="21"/>
      <c r="G48" s="10"/>
      <c r="I48" s="28"/>
      <c r="J48" s="92"/>
      <c r="K48" s="28"/>
    </row>
    <row r="49" spans="1:11">
      <c r="A49" s="7"/>
      <c r="B49" s="7"/>
      <c r="C49" s="10"/>
      <c r="E49" s="23"/>
      <c r="F49" s="21"/>
      <c r="G49" s="10"/>
      <c r="I49" s="28"/>
      <c r="J49" s="92"/>
      <c r="K49" s="28"/>
    </row>
    <row r="50" spans="1:11">
      <c r="A50" s="7"/>
      <c r="B50" s="7"/>
      <c r="C50" s="10"/>
      <c r="E50" s="23"/>
      <c r="F50" s="21"/>
      <c r="G50" s="10"/>
      <c r="I50" s="28"/>
      <c r="J50" s="92"/>
      <c r="K50" s="28"/>
    </row>
    <row r="51" spans="1:11">
      <c r="A51" s="7"/>
      <c r="B51" s="7"/>
      <c r="C51" s="10"/>
      <c r="E51" s="23"/>
      <c r="F51" s="21"/>
      <c r="G51" s="10"/>
      <c r="I51" s="28"/>
      <c r="J51" s="92"/>
      <c r="K51" s="28"/>
    </row>
    <row r="52" spans="1:11">
      <c r="A52" s="7"/>
      <c r="B52" s="7"/>
      <c r="C52" s="10"/>
      <c r="E52" s="23"/>
      <c r="F52" s="21"/>
      <c r="G52" s="10"/>
      <c r="I52" s="28"/>
      <c r="J52" s="92"/>
      <c r="K52" s="28"/>
    </row>
    <row r="53" spans="1:11">
      <c r="A53" s="7"/>
      <c r="B53" s="7"/>
      <c r="C53" s="10"/>
      <c r="E53" s="23"/>
      <c r="F53" s="21"/>
      <c r="G53" s="10"/>
      <c r="I53" s="28"/>
      <c r="J53" s="92"/>
      <c r="K53" s="28"/>
    </row>
    <row r="54" spans="1:11">
      <c r="A54" s="7"/>
      <c r="B54" s="7"/>
      <c r="C54" s="11"/>
      <c r="D54" s="12"/>
      <c r="E54" s="24"/>
      <c r="F54" s="21"/>
      <c r="G54" s="11"/>
      <c r="H54" s="12"/>
      <c r="I54" s="93"/>
      <c r="J54" s="94"/>
      <c r="K54" s="28"/>
    </row>
    <row r="55" spans="3:10">
      <c r="C55" s="64"/>
      <c r="D55" s="64"/>
      <c r="E55" s="13"/>
      <c r="G55" s="13"/>
      <c r="H55" s="13"/>
      <c r="I55" s="13"/>
      <c r="J55" s="13"/>
    </row>
    <row r="56" spans="1:10">
      <c r="A56" s="7"/>
      <c r="B56" s="7"/>
      <c r="C56" s="82" t="s">
        <v>229</v>
      </c>
      <c r="D56" s="82" t="s">
        <v>130</v>
      </c>
      <c r="E56" s="88"/>
      <c r="F56" s="89"/>
      <c r="G56" s="82" t="s">
        <v>229</v>
      </c>
      <c r="H56" s="90" t="s">
        <v>230</v>
      </c>
      <c r="I56" s="89"/>
      <c r="J56" s="89"/>
    </row>
    <row r="57" spans="1:10">
      <c r="A57" s="7"/>
      <c r="B57" s="7"/>
      <c r="C57" s="145" t="s">
        <v>231</v>
      </c>
      <c r="D57" s="82">
        <v>1000</v>
      </c>
      <c r="E57" s="88"/>
      <c r="F57" s="89"/>
      <c r="G57" s="145" t="s">
        <v>231</v>
      </c>
      <c r="H57" s="82">
        <v>2</v>
      </c>
      <c r="I57" s="89"/>
      <c r="J57" s="89"/>
    </row>
    <row r="58" spans="1:8">
      <c r="A58" s="7"/>
      <c r="B58" s="7"/>
      <c r="C58" s="145" t="s">
        <v>232</v>
      </c>
      <c r="D58" s="82">
        <v>1200</v>
      </c>
      <c r="E58" s="28"/>
      <c r="G58" s="145" t="s">
        <v>232</v>
      </c>
      <c r="H58" s="82">
        <v>3</v>
      </c>
    </row>
    <row r="59" spans="1:8">
      <c r="A59" s="7"/>
      <c r="B59" s="7"/>
      <c r="C59" s="145" t="s">
        <v>233</v>
      </c>
      <c r="D59" s="82">
        <v>1300</v>
      </c>
      <c r="E59" s="28"/>
      <c r="G59" s="145" t="s">
        <v>233</v>
      </c>
      <c r="H59" s="82">
        <v>1</v>
      </c>
    </row>
    <row r="60" spans="1:8">
      <c r="A60" s="7"/>
      <c r="B60" s="7"/>
      <c r="C60" s="145" t="s">
        <v>234</v>
      </c>
      <c r="D60" s="82">
        <v>900</v>
      </c>
      <c r="E60" s="28"/>
      <c r="G60" s="145" t="s">
        <v>234</v>
      </c>
      <c r="H60" s="82">
        <v>2</v>
      </c>
    </row>
    <row r="61" spans="1:8">
      <c r="A61" s="7"/>
      <c r="B61" s="7"/>
      <c r="C61" s="145" t="s">
        <v>235</v>
      </c>
      <c r="D61" s="82">
        <v>1000</v>
      </c>
      <c r="E61" s="28"/>
      <c r="G61" s="145" t="s">
        <v>235</v>
      </c>
      <c r="H61" s="82">
        <v>4</v>
      </c>
    </row>
    <row r="62" spans="1:8">
      <c r="A62" s="7"/>
      <c r="B62" s="7"/>
      <c r="C62" s="145" t="s">
        <v>236</v>
      </c>
      <c r="D62" s="82">
        <v>800</v>
      </c>
      <c r="E62" s="28"/>
      <c r="G62" s="145" t="s">
        <v>236</v>
      </c>
      <c r="H62" s="82">
        <v>5</v>
      </c>
    </row>
    <row r="63" spans="1:8">
      <c r="A63" s="7"/>
      <c r="B63" s="7"/>
      <c r="C63" s="145" t="s">
        <v>237</v>
      </c>
      <c r="D63" s="82">
        <v>1500</v>
      </c>
      <c r="E63" s="28"/>
      <c r="G63" s="145" t="s">
        <v>237</v>
      </c>
      <c r="H63" s="82">
        <v>3</v>
      </c>
    </row>
    <row r="64" spans="3:4">
      <c r="C64" s="13"/>
      <c r="D64" s="13"/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85"/>
  <sheetViews>
    <sheetView zoomScale="120" zoomScaleNormal="120" topLeftCell="A73" workbookViewId="0">
      <selection activeCell="G82" sqref="G82"/>
    </sheetView>
  </sheetViews>
  <sheetFormatPr defaultColWidth="9" defaultRowHeight="12.4"/>
  <cols>
    <col min="1" max="1" width="9" style="1"/>
    <col min="2" max="2" width="12.375" style="1" customWidth="1"/>
    <col min="3" max="3" width="30" style="1" customWidth="1"/>
    <col min="4" max="4" width="11.25" style="1" customWidth="1"/>
    <col min="5" max="5" width="11.625" style="1" customWidth="1"/>
    <col min="6" max="6" width="10.875" style="1" customWidth="1"/>
    <col min="7" max="8" width="9" style="1"/>
    <col min="9" max="9" width="17.875" style="1" customWidth="1"/>
    <col min="10" max="10" width="22.75" style="1" customWidth="1"/>
    <col min="11" max="16384" width="9" style="1"/>
  </cols>
  <sheetData>
    <row r="1" spans="1:1">
      <c r="A1" s="2" t="s">
        <v>238</v>
      </c>
    </row>
    <row r="2" s="4" customFormat="1" ht="11.2" spans="1:12">
      <c r="A2" s="30" t="s">
        <v>147</v>
      </c>
      <c r="B2" s="4" t="s">
        <v>239</v>
      </c>
      <c r="L2" s="69"/>
    </row>
    <row r="3" s="4" customFormat="1" ht="11.2" spans="1:12">
      <c r="A3" s="30"/>
      <c r="B3" s="4" t="s">
        <v>240</v>
      </c>
      <c r="L3" s="69"/>
    </row>
    <row r="4" s="4" customFormat="1" ht="11.2" spans="1:12">
      <c r="A4" s="30"/>
      <c r="B4" s="4" t="s">
        <v>241</v>
      </c>
      <c r="L4" s="69"/>
    </row>
    <row r="5" s="4" customFormat="1" ht="11.2" spans="1:12">
      <c r="A5" s="30"/>
      <c r="B5" s="4" t="s">
        <v>242</v>
      </c>
      <c r="L5" s="69"/>
    </row>
    <row r="6" s="4" customFormat="1" ht="11.2" spans="1:12">
      <c r="A6" s="30"/>
      <c r="B6" s="4" t="s">
        <v>243</v>
      </c>
      <c r="L6" s="69"/>
    </row>
    <row r="7" s="4" customFormat="1" ht="11.2" spans="1:12">
      <c r="A7" s="30"/>
      <c r="B7" s="50"/>
      <c r="C7" s="50"/>
      <c r="D7" s="50"/>
      <c r="E7" s="50"/>
      <c r="L7" s="69"/>
    </row>
    <row r="8" spans="1:12">
      <c r="A8" s="51" t="s">
        <v>244</v>
      </c>
      <c r="B8" s="6"/>
      <c r="C8" s="6"/>
      <c r="D8" s="6"/>
      <c r="E8" s="6"/>
      <c r="L8" s="69"/>
    </row>
    <row r="9" spans="1:12">
      <c r="A9" s="52"/>
      <c r="B9" s="53" t="s">
        <v>245</v>
      </c>
      <c r="C9" s="53" t="s">
        <v>246</v>
      </c>
      <c r="D9" s="53" t="s">
        <v>247</v>
      </c>
      <c r="E9" s="53" t="s">
        <v>248</v>
      </c>
      <c r="F9" s="28"/>
      <c r="H9" s="69"/>
      <c r="I9" s="69"/>
      <c r="J9" s="69"/>
      <c r="K9" s="69"/>
      <c r="L9" s="69"/>
    </row>
    <row r="10" spans="1:12">
      <c r="A10" s="52"/>
      <c r="B10" s="53" t="s">
        <v>249</v>
      </c>
      <c r="C10" s="53" t="s">
        <v>250</v>
      </c>
      <c r="D10" s="53" t="s">
        <v>251</v>
      </c>
      <c r="E10" s="53" t="s">
        <v>251</v>
      </c>
      <c r="F10" s="28"/>
      <c r="H10" s="69"/>
      <c r="I10" s="69"/>
      <c r="J10" s="69"/>
      <c r="K10" s="69"/>
      <c r="L10" s="69"/>
    </row>
    <row r="11" spans="1:12">
      <c r="A11" s="52"/>
      <c r="B11" s="53" t="s">
        <v>252</v>
      </c>
      <c r="C11" s="53" t="s">
        <v>253</v>
      </c>
      <c r="D11" s="53" t="s">
        <v>254</v>
      </c>
      <c r="E11" s="53" t="s">
        <v>254</v>
      </c>
      <c r="F11" s="28"/>
      <c r="H11" s="69"/>
      <c r="I11" s="69"/>
      <c r="J11" s="69"/>
      <c r="K11" s="69"/>
      <c r="L11" s="69"/>
    </row>
    <row r="12" spans="1:12">
      <c r="A12" s="52"/>
      <c r="B12" s="53" t="s">
        <v>255</v>
      </c>
      <c r="C12" s="53" t="s">
        <v>253</v>
      </c>
      <c r="D12" s="53" t="s">
        <v>251</v>
      </c>
      <c r="E12" s="53" t="s">
        <v>251</v>
      </c>
      <c r="F12" s="28"/>
      <c r="H12" s="69"/>
      <c r="I12" s="69"/>
      <c r="J12" s="69"/>
      <c r="K12" s="69"/>
      <c r="L12" s="69"/>
    </row>
    <row r="13" spans="1:12">
      <c r="A13" s="52"/>
      <c r="B13" s="53" t="s">
        <v>256</v>
      </c>
      <c r="C13" s="53" t="s">
        <v>253</v>
      </c>
      <c r="D13" s="53" t="s">
        <v>254</v>
      </c>
      <c r="E13" s="53" t="s">
        <v>254</v>
      </c>
      <c r="F13" s="28"/>
      <c r="H13" s="69"/>
      <c r="I13" s="69"/>
      <c r="J13" s="69"/>
      <c r="K13" s="69"/>
      <c r="L13" s="69"/>
    </row>
    <row r="14" spans="1:12">
      <c r="A14" s="52"/>
      <c r="B14" s="53" t="s">
        <v>257</v>
      </c>
      <c r="C14" s="53" t="s">
        <v>253</v>
      </c>
      <c r="D14" s="53" t="s">
        <v>254</v>
      </c>
      <c r="E14" s="53" t="s">
        <v>254</v>
      </c>
      <c r="F14" s="28"/>
      <c r="H14" s="69"/>
      <c r="I14" s="69"/>
      <c r="J14" s="69"/>
      <c r="K14" s="69"/>
      <c r="L14" s="69"/>
    </row>
    <row r="15" spans="1:12">
      <c r="A15" s="3"/>
      <c r="B15" s="54"/>
      <c r="C15" s="54"/>
      <c r="D15" s="54"/>
      <c r="E15" s="54"/>
      <c r="H15" s="69"/>
      <c r="I15" s="69"/>
      <c r="J15" s="69"/>
      <c r="K15" s="69"/>
      <c r="L15" s="69"/>
    </row>
    <row r="16" spans="1:1">
      <c r="A16" s="55" t="s">
        <v>258</v>
      </c>
    </row>
    <row r="17" spans="1:8">
      <c r="A17" s="56"/>
      <c r="B17" s="6"/>
      <c r="C17" s="6"/>
      <c r="D17" s="6"/>
      <c r="E17" s="6"/>
      <c r="F17" s="6"/>
      <c r="G17" s="6"/>
      <c r="H17" s="6"/>
    </row>
    <row r="18" ht="14.4" spans="1:9">
      <c r="A18" s="7"/>
      <c r="B18" s="57" t="s">
        <v>259</v>
      </c>
      <c r="C18" s="58" t="s">
        <v>260</v>
      </c>
      <c r="D18" s="59"/>
      <c r="E18" s="70"/>
      <c r="F18" s="16"/>
      <c r="G18" s="16"/>
      <c r="H18" s="25"/>
      <c r="I18" s="28"/>
    </row>
    <row r="19" ht="14.4" spans="1:9">
      <c r="A19" s="7"/>
      <c r="B19" s="60" t="s">
        <v>261</v>
      </c>
      <c r="C19" s="61" t="s">
        <v>262</v>
      </c>
      <c r="D19" s="62"/>
      <c r="E19" s="71"/>
      <c r="H19" s="26"/>
      <c r="I19" s="28"/>
    </row>
    <row r="20" ht="14.4" spans="1:9">
      <c r="A20" s="7"/>
      <c r="B20" s="60" t="s">
        <v>263</v>
      </c>
      <c r="C20" s="51" t="s">
        <v>264</v>
      </c>
      <c r="D20" s="62"/>
      <c r="E20" s="62"/>
      <c r="H20" s="26"/>
      <c r="I20" s="28"/>
    </row>
    <row r="21" ht="14.4" spans="1:9">
      <c r="A21" s="7"/>
      <c r="B21" s="60" t="s">
        <v>265</v>
      </c>
      <c r="C21" s="51" t="s">
        <v>264</v>
      </c>
      <c r="D21" s="62"/>
      <c r="E21" s="62"/>
      <c r="H21" s="26"/>
      <c r="I21" s="28"/>
    </row>
    <row r="22" ht="14.4" spans="1:9">
      <c r="A22" s="7"/>
      <c r="B22" s="60" t="s">
        <v>266</v>
      </c>
      <c r="C22" s="51" t="s">
        <v>267</v>
      </c>
      <c r="D22" s="62"/>
      <c r="E22" s="62"/>
      <c r="H22" s="26"/>
      <c r="I22" s="28"/>
    </row>
    <row r="23" ht="14.4" spans="1:9">
      <c r="A23" s="7"/>
      <c r="B23" s="63"/>
      <c r="C23" s="34"/>
      <c r="D23" s="35"/>
      <c r="E23" s="35"/>
      <c r="H23" s="26"/>
      <c r="I23" s="28"/>
    </row>
    <row r="24" ht="14.4" spans="1:9">
      <c r="A24" s="7"/>
      <c r="B24" s="63"/>
      <c r="C24" s="34"/>
      <c r="D24" s="35"/>
      <c r="E24" s="35"/>
      <c r="H24" s="26"/>
      <c r="I24" s="28"/>
    </row>
    <row r="25" ht="14.4" spans="1:9">
      <c r="A25" s="7"/>
      <c r="B25" s="63"/>
      <c r="C25" s="34"/>
      <c r="D25" s="35"/>
      <c r="E25" s="35"/>
      <c r="H25" s="26"/>
      <c r="I25" s="28"/>
    </row>
    <row r="26" ht="14.4" spans="1:9">
      <c r="A26" s="7"/>
      <c r="B26" s="63"/>
      <c r="C26" s="34"/>
      <c r="D26" s="35"/>
      <c r="E26" s="35"/>
      <c r="H26" s="26"/>
      <c r="I26" s="28"/>
    </row>
    <row r="27" ht="14.4" spans="1:9">
      <c r="A27" s="7"/>
      <c r="B27" s="63"/>
      <c r="C27" s="34"/>
      <c r="D27" s="35"/>
      <c r="E27" s="35"/>
      <c r="H27" s="26"/>
      <c r="I27" s="28"/>
    </row>
    <row r="28" ht="14.4" spans="1:9">
      <c r="A28" s="7"/>
      <c r="B28" s="63"/>
      <c r="C28" s="34"/>
      <c r="D28" s="35"/>
      <c r="E28" s="35"/>
      <c r="H28" s="26"/>
      <c r="I28" s="28"/>
    </row>
    <row r="29" ht="14.4" spans="1:9">
      <c r="A29" s="7"/>
      <c r="B29" s="63"/>
      <c r="C29" s="34"/>
      <c r="D29" s="35"/>
      <c r="E29" s="35"/>
      <c r="H29" s="26"/>
      <c r="I29" s="28"/>
    </row>
    <row r="30" ht="14.4" spans="1:9">
      <c r="A30" s="7"/>
      <c r="B30" s="63"/>
      <c r="C30" s="34"/>
      <c r="D30" s="35"/>
      <c r="E30" s="35"/>
      <c r="H30" s="26"/>
      <c r="I30" s="28"/>
    </row>
    <row r="31" spans="1:9">
      <c r="A31" s="7"/>
      <c r="B31" s="18"/>
      <c r="C31" s="19"/>
      <c r="D31" s="19"/>
      <c r="E31" s="19"/>
      <c r="F31" s="19"/>
      <c r="G31" s="19"/>
      <c r="H31" s="27"/>
      <c r="I31" s="28"/>
    </row>
    <row r="32" spans="2:8">
      <c r="B32" s="64"/>
      <c r="C32" s="64"/>
      <c r="D32" s="64"/>
      <c r="E32" s="64"/>
      <c r="F32" s="64"/>
      <c r="G32" s="13"/>
      <c r="H32" s="13"/>
    </row>
    <row r="33" spans="1:7">
      <c r="A33" s="7"/>
      <c r="B33" s="14" t="s">
        <v>245</v>
      </c>
      <c r="C33" s="14" t="s">
        <v>204</v>
      </c>
      <c r="D33" s="146" t="s">
        <v>235</v>
      </c>
      <c r="E33" s="146" t="s">
        <v>236</v>
      </c>
      <c r="F33" s="146" t="s">
        <v>237</v>
      </c>
      <c r="G33" s="28"/>
    </row>
    <row r="34" spans="1:7">
      <c r="A34" s="7"/>
      <c r="B34" s="14" t="s">
        <v>249</v>
      </c>
      <c r="C34" s="14">
        <v>463</v>
      </c>
      <c r="D34" s="14">
        <v>159</v>
      </c>
      <c r="E34" s="14">
        <v>145</v>
      </c>
      <c r="F34" s="14">
        <v>159</v>
      </c>
      <c r="G34" s="28"/>
    </row>
    <row r="35" spans="2:6">
      <c r="B35" s="13"/>
      <c r="C35" s="13"/>
      <c r="D35" s="13"/>
      <c r="E35" s="13"/>
      <c r="F35" s="13"/>
    </row>
    <row r="37" spans="1:1">
      <c r="A37" s="55" t="s">
        <v>268</v>
      </c>
    </row>
    <row r="38" spans="1:8">
      <c r="A38" s="56"/>
      <c r="B38" s="6"/>
      <c r="C38" s="6"/>
      <c r="D38" s="6"/>
      <c r="E38" s="6"/>
      <c r="F38" s="6"/>
      <c r="G38" s="6"/>
      <c r="H38" s="6"/>
    </row>
    <row r="39" ht="14.4" spans="1:9">
      <c r="A39" s="7"/>
      <c r="B39" s="65" t="s">
        <v>259</v>
      </c>
      <c r="C39" s="66" t="s">
        <v>260</v>
      </c>
      <c r="D39" s="33"/>
      <c r="E39" s="9"/>
      <c r="F39" s="9"/>
      <c r="G39" s="9"/>
      <c r="H39" s="20"/>
      <c r="I39" s="28"/>
    </row>
    <row r="40" ht="14.4" spans="1:9">
      <c r="A40" s="7"/>
      <c r="B40" s="67"/>
      <c r="C40" s="4" t="s">
        <v>252</v>
      </c>
      <c r="D40" s="35"/>
      <c r="H40" s="23"/>
      <c r="I40" s="28"/>
    </row>
    <row r="41" ht="14.4" spans="1:9">
      <c r="A41" s="7"/>
      <c r="B41" s="67" t="s">
        <v>261</v>
      </c>
      <c r="C41" s="34" t="s">
        <v>262</v>
      </c>
      <c r="D41" s="35"/>
      <c r="H41" s="23"/>
      <c r="I41" s="28"/>
    </row>
    <row r="42" ht="14.4" spans="1:9">
      <c r="A42" s="7"/>
      <c r="B42" s="67" t="s">
        <v>263</v>
      </c>
      <c r="C42" s="34" t="s">
        <v>264</v>
      </c>
      <c r="D42" s="35"/>
      <c r="H42" s="23"/>
      <c r="I42" s="28"/>
    </row>
    <row r="43" ht="14.4" spans="1:9">
      <c r="A43" s="7"/>
      <c r="B43" s="67" t="s">
        <v>265</v>
      </c>
      <c r="C43" s="34" t="s">
        <v>264</v>
      </c>
      <c r="D43" s="35"/>
      <c r="H43" s="23"/>
      <c r="I43" s="28"/>
    </row>
    <row r="44" ht="14.4" spans="1:9">
      <c r="A44" s="7"/>
      <c r="B44" s="67" t="s">
        <v>266</v>
      </c>
      <c r="C44" s="34" t="s">
        <v>267</v>
      </c>
      <c r="D44" s="35"/>
      <c r="H44" s="23"/>
      <c r="I44" s="28"/>
    </row>
    <row r="45" spans="1:9">
      <c r="A45" s="7"/>
      <c r="B45" s="10"/>
      <c r="H45" s="23"/>
      <c r="I45" s="28"/>
    </row>
    <row r="46" spans="1:9">
      <c r="A46" s="7"/>
      <c r="B46" s="10"/>
      <c r="H46" s="23"/>
      <c r="I46" s="28"/>
    </row>
    <row r="47" spans="1:9">
      <c r="A47" s="7"/>
      <c r="B47" s="10"/>
      <c r="H47" s="23"/>
      <c r="I47" s="28"/>
    </row>
    <row r="48" spans="1:9">
      <c r="A48" s="7"/>
      <c r="B48" s="10"/>
      <c r="H48" s="23"/>
      <c r="I48" s="28"/>
    </row>
    <row r="49" spans="1:9">
      <c r="A49" s="7"/>
      <c r="B49" s="10"/>
      <c r="H49" s="23"/>
      <c r="I49" s="28"/>
    </row>
    <row r="50" spans="1:9">
      <c r="A50" s="7"/>
      <c r="B50" s="10"/>
      <c r="H50" s="23"/>
      <c r="I50" s="28"/>
    </row>
    <row r="51" spans="1:9">
      <c r="A51" s="7"/>
      <c r="B51" s="10"/>
      <c r="H51" s="23"/>
      <c r="I51" s="28"/>
    </row>
    <row r="52" spans="1:9">
      <c r="A52" s="7"/>
      <c r="B52" s="10"/>
      <c r="H52" s="23"/>
      <c r="I52" s="28"/>
    </row>
    <row r="53" spans="1:9">
      <c r="A53" s="7"/>
      <c r="B53" s="10"/>
      <c r="H53" s="23"/>
      <c r="I53" s="28"/>
    </row>
    <row r="54" spans="1:9">
      <c r="A54" s="7"/>
      <c r="B54" s="11"/>
      <c r="C54" s="12"/>
      <c r="D54" s="12"/>
      <c r="E54" s="12"/>
      <c r="F54" s="12"/>
      <c r="G54" s="12"/>
      <c r="H54" s="24"/>
      <c r="I54" s="28"/>
    </row>
    <row r="55" spans="2:8">
      <c r="B55" s="13"/>
      <c r="C55" s="13"/>
      <c r="D55" s="13"/>
      <c r="E55" s="13"/>
      <c r="F55" s="13"/>
      <c r="G55" s="13"/>
      <c r="H55" s="13"/>
    </row>
    <row r="56" spans="2:6">
      <c r="B56" s="14" t="s">
        <v>245</v>
      </c>
      <c r="C56" s="14" t="s">
        <v>204</v>
      </c>
      <c r="D56" s="146" t="s">
        <v>235</v>
      </c>
      <c r="E56" s="146" t="s">
        <v>236</v>
      </c>
      <c r="F56" s="146" t="s">
        <v>237</v>
      </c>
    </row>
    <row r="57" spans="2:6">
      <c r="B57" s="14" t="s">
        <v>249</v>
      </c>
      <c r="C57" s="14">
        <v>463</v>
      </c>
      <c r="D57" s="14">
        <v>159</v>
      </c>
      <c r="E57" s="14">
        <v>145</v>
      </c>
      <c r="F57" s="14">
        <v>159</v>
      </c>
    </row>
    <row r="58" spans="2:6">
      <c r="B58" s="14" t="s">
        <v>252</v>
      </c>
      <c r="C58" s="14">
        <v>401</v>
      </c>
      <c r="D58" s="14">
        <v>70</v>
      </c>
      <c r="E58" s="14">
        <v>80</v>
      </c>
      <c r="F58" s="14">
        <v>130</v>
      </c>
    </row>
    <row r="62" spans="1:1">
      <c r="A62" s="55" t="s">
        <v>269</v>
      </c>
    </row>
    <row r="63" spans="1:8">
      <c r="A63" s="56"/>
      <c r="B63" s="6"/>
      <c r="C63" s="6"/>
      <c r="D63" s="6"/>
      <c r="E63" s="6"/>
      <c r="F63" s="6"/>
      <c r="G63" s="6"/>
      <c r="H63" s="6"/>
    </row>
    <row r="64" ht="14.4" spans="1:9">
      <c r="A64" s="7"/>
      <c r="B64" s="65" t="s">
        <v>259</v>
      </c>
      <c r="C64" s="68" t="s">
        <v>260</v>
      </c>
      <c r="D64" s="33"/>
      <c r="E64" s="9"/>
      <c r="F64" s="9"/>
      <c r="G64" s="9"/>
      <c r="H64" s="20"/>
      <c r="I64" s="28"/>
    </row>
    <row r="65" ht="14.4" spans="1:9">
      <c r="A65" s="7"/>
      <c r="B65" s="67" t="s">
        <v>261</v>
      </c>
      <c r="C65" s="34" t="s">
        <v>262</v>
      </c>
      <c r="D65" s="35"/>
      <c r="H65" s="23"/>
      <c r="I65" s="28"/>
    </row>
    <row r="66" ht="14.4" spans="1:9">
      <c r="A66" s="7"/>
      <c r="B66" s="67" t="s">
        <v>263</v>
      </c>
      <c r="C66" s="4" t="s">
        <v>270</v>
      </c>
      <c r="D66" s="35"/>
      <c r="H66" s="23"/>
      <c r="I66" s="28"/>
    </row>
    <row r="67" ht="14.4" spans="1:9">
      <c r="A67" s="7"/>
      <c r="B67" s="67" t="s">
        <v>265</v>
      </c>
      <c r="C67" s="34" t="s">
        <v>264</v>
      </c>
      <c r="D67" s="35"/>
      <c r="H67" s="23"/>
      <c r="I67" s="28"/>
    </row>
    <row r="68" ht="14.4" spans="1:9">
      <c r="A68" s="7"/>
      <c r="B68" s="67" t="s">
        <v>266</v>
      </c>
      <c r="C68" s="34" t="s">
        <v>267</v>
      </c>
      <c r="D68" s="35"/>
      <c r="H68" s="23"/>
      <c r="I68" s="28"/>
    </row>
    <row r="69" spans="1:9">
      <c r="A69" s="7"/>
      <c r="B69" s="10"/>
      <c r="H69" s="23"/>
      <c r="I69" s="28"/>
    </row>
    <row r="70" spans="1:9">
      <c r="A70" s="7"/>
      <c r="B70" s="10"/>
      <c r="H70" s="23"/>
      <c r="I70" s="28"/>
    </row>
    <row r="71" spans="1:9">
      <c r="A71" s="7"/>
      <c r="B71" s="10"/>
      <c r="H71" s="23"/>
      <c r="I71" s="28"/>
    </row>
    <row r="72" spans="1:9">
      <c r="A72" s="7"/>
      <c r="B72" s="10"/>
      <c r="H72" s="23"/>
      <c r="I72" s="28"/>
    </row>
    <row r="73" spans="1:9">
      <c r="A73" s="7"/>
      <c r="B73" s="10"/>
      <c r="H73" s="23"/>
      <c r="I73" s="28"/>
    </row>
    <row r="74" spans="1:9">
      <c r="A74" s="7"/>
      <c r="B74" s="10"/>
      <c r="H74" s="23"/>
      <c r="I74" s="28"/>
    </row>
    <row r="75" spans="1:9">
      <c r="A75" s="7"/>
      <c r="B75" s="10"/>
      <c r="H75" s="23"/>
      <c r="I75" s="28"/>
    </row>
    <row r="76" spans="1:9">
      <c r="A76" s="7"/>
      <c r="B76" s="10"/>
      <c r="H76" s="23"/>
      <c r="I76" s="28"/>
    </row>
    <row r="77" spans="1:9">
      <c r="A77" s="7"/>
      <c r="B77" s="10"/>
      <c r="H77" s="23"/>
      <c r="I77" s="28"/>
    </row>
    <row r="78" spans="1:9">
      <c r="A78" s="7"/>
      <c r="B78" s="10"/>
      <c r="H78" s="23"/>
      <c r="I78" s="28"/>
    </row>
    <row r="79" spans="1:9">
      <c r="A79" s="7"/>
      <c r="B79" s="11"/>
      <c r="C79" s="12"/>
      <c r="D79" s="12"/>
      <c r="E79" s="12"/>
      <c r="F79" s="12"/>
      <c r="G79" s="12"/>
      <c r="H79" s="24"/>
      <c r="I79" s="28"/>
    </row>
    <row r="80" spans="2:8">
      <c r="B80" s="72"/>
      <c r="C80" s="72"/>
      <c r="D80" s="72"/>
      <c r="E80" s="72"/>
      <c r="F80" s="72"/>
      <c r="G80" s="72"/>
      <c r="H80" s="13"/>
    </row>
    <row r="81" spans="2:7">
      <c r="B81" s="14" t="s">
        <v>245</v>
      </c>
      <c r="C81" s="14" t="s">
        <v>270</v>
      </c>
      <c r="D81" s="146" t="s">
        <v>204</v>
      </c>
      <c r="E81" s="146" t="s">
        <v>235</v>
      </c>
      <c r="F81" s="146" t="s">
        <v>236</v>
      </c>
      <c r="G81" s="14" t="s">
        <v>237</v>
      </c>
    </row>
    <row r="82" spans="2:7">
      <c r="B82" s="14" t="s">
        <v>249</v>
      </c>
      <c r="C82" s="14" t="s">
        <v>271</v>
      </c>
      <c r="D82" s="14">
        <v>463</v>
      </c>
      <c r="E82" s="14">
        <v>100</v>
      </c>
      <c r="F82" s="14">
        <v>145</v>
      </c>
      <c r="G82" s="14">
        <v>159</v>
      </c>
    </row>
    <row r="83" spans="2:7">
      <c r="B83" s="14" t="s">
        <v>249</v>
      </c>
      <c r="C83" s="14" t="s">
        <v>272</v>
      </c>
      <c r="D83" s="14">
        <v>401</v>
      </c>
      <c r="E83" s="14">
        <v>60</v>
      </c>
      <c r="F83" s="14">
        <v>130</v>
      </c>
      <c r="G83" s="14">
        <v>130</v>
      </c>
    </row>
    <row r="84" spans="2:7">
      <c r="B84" s="14" t="s">
        <v>249</v>
      </c>
      <c r="C84" s="14" t="s">
        <v>273</v>
      </c>
      <c r="D84" s="14">
        <v>339</v>
      </c>
      <c r="E84" s="14">
        <v>200</v>
      </c>
      <c r="F84" s="14">
        <v>116</v>
      </c>
      <c r="G84" s="14">
        <v>112</v>
      </c>
    </row>
    <row r="85" spans="2:7">
      <c r="B85" s="14" t="s">
        <v>249</v>
      </c>
      <c r="C85" s="14" t="s">
        <v>274</v>
      </c>
      <c r="D85" s="14">
        <v>385</v>
      </c>
      <c r="E85" s="14">
        <v>150</v>
      </c>
      <c r="F85" s="14">
        <v>123</v>
      </c>
      <c r="G85" s="14">
        <v>132</v>
      </c>
    </row>
  </sheetData>
  <pageMargins left="0.699305555555556" right="0.699305555555556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K77"/>
  <sheetViews>
    <sheetView zoomScale="120" zoomScaleNormal="120" workbookViewId="0">
      <selection activeCell="B4" sqref="B4"/>
    </sheetView>
  </sheetViews>
  <sheetFormatPr defaultColWidth="9" defaultRowHeight="12.4"/>
  <cols>
    <col min="1" max="2" width="9" style="1"/>
    <col min="3" max="3" width="15.625" style="1" customWidth="1"/>
    <col min="4" max="16384" width="9" style="1"/>
  </cols>
  <sheetData>
    <row r="1" spans="1:8">
      <c r="A1" s="29" t="s">
        <v>275</v>
      </c>
      <c r="H1" s="28"/>
    </row>
    <row r="2" s="4" customFormat="1" ht="11.2" spans="1:8">
      <c r="A2" s="30" t="s">
        <v>147</v>
      </c>
      <c r="B2" s="4" t="s">
        <v>276</v>
      </c>
      <c r="H2" s="42"/>
    </row>
    <row r="3" s="4" customFormat="1" ht="11.2" spans="1:8">
      <c r="A3" s="30"/>
      <c r="B3" s="4" t="s">
        <v>277</v>
      </c>
      <c r="H3" s="42"/>
    </row>
    <row r="4" s="4" customFormat="1" ht="11.2" spans="1:8">
      <c r="A4" s="30"/>
      <c r="B4" s="4" t="s">
        <v>278</v>
      </c>
      <c r="H4" s="42"/>
    </row>
    <row r="5" s="4" customFormat="1" ht="11.2" spans="1:8">
      <c r="A5" s="30"/>
      <c r="H5" s="42"/>
    </row>
    <row r="6" spans="1:8">
      <c r="A6" s="5" t="s">
        <v>279</v>
      </c>
      <c r="H6" s="28"/>
    </row>
    <row r="7" spans="1:10">
      <c r="A7" s="7"/>
      <c r="B7" s="6"/>
      <c r="C7" s="6"/>
      <c r="D7" s="6"/>
      <c r="E7" s="6"/>
      <c r="F7" s="6"/>
      <c r="G7" s="6"/>
      <c r="H7" s="43"/>
      <c r="I7" s="6"/>
      <c r="J7" s="6"/>
    </row>
    <row r="8" spans="1:10">
      <c r="A8" s="7"/>
      <c r="B8" s="31" t="s">
        <v>280</v>
      </c>
      <c r="C8" s="32" t="s">
        <v>281</v>
      </c>
      <c r="D8" s="33"/>
      <c r="E8" s="9"/>
      <c r="F8" s="9"/>
      <c r="G8" s="9"/>
      <c r="H8" s="44"/>
      <c r="I8" s="9"/>
      <c r="J8" s="20"/>
    </row>
    <row r="9" spans="1:10">
      <c r="A9" s="7"/>
      <c r="B9" s="10" t="s">
        <v>265</v>
      </c>
      <c r="C9" s="34" t="s">
        <v>264</v>
      </c>
      <c r="D9" s="35"/>
      <c r="H9" s="28"/>
      <c r="J9" s="23"/>
    </row>
    <row r="10" spans="1:10">
      <c r="A10" s="7"/>
      <c r="B10" s="10" t="s">
        <v>266</v>
      </c>
      <c r="C10" s="34" t="s">
        <v>282</v>
      </c>
      <c r="D10" s="35"/>
      <c r="H10" s="28"/>
      <c r="J10" s="23"/>
    </row>
    <row r="11" spans="1:10">
      <c r="A11" s="7"/>
      <c r="B11" s="10"/>
      <c r="H11" s="28"/>
      <c r="J11" s="23"/>
    </row>
    <row r="12" spans="1:10">
      <c r="A12" s="7"/>
      <c r="B12" s="36"/>
      <c r="C12" s="13"/>
      <c r="D12" s="13"/>
      <c r="E12" s="13"/>
      <c r="F12" s="13"/>
      <c r="G12" s="13"/>
      <c r="J12" s="23"/>
    </row>
    <row r="13" spans="1:10">
      <c r="A13" s="7"/>
      <c r="B13" s="10"/>
      <c r="D13" s="37"/>
      <c r="E13" s="37" t="s">
        <v>253</v>
      </c>
      <c r="F13" s="37"/>
      <c r="G13" s="37" t="s">
        <v>283</v>
      </c>
      <c r="J13" s="23"/>
    </row>
    <row r="14" ht="13.2" spans="1:10">
      <c r="A14" s="7"/>
      <c r="B14" s="38" t="s">
        <v>249</v>
      </c>
      <c r="E14" s="45">
        <v>500</v>
      </c>
      <c r="J14" s="23"/>
    </row>
    <row r="15" spans="1:10">
      <c r="A15" s="7"/>
      <c r="B15" s="39"/>
      <c r="E15" s="46" t="s">
        <v>284</v>
      </c>
      <c r="J15" s="23"/>
    </row>
    <row r="16" ht="13.2" spans="1:10">
      <c r="A16" s="7"/>
      <c r="B16" s="39"/>
      <c r="G16" s="47">
        <v>0.1</v>
      </c>
      <c r="J16" s="23"/>
    </row>
    <row r="17" spans="1:10">
      <c r="A17" s="7"/>
      <c r="B17" s="39"/>
      <c r="G17" s="48" t="s">
        <v>285</v>
      </c>
      <c r="J17" s="23"/>
    </row>
    <row r="18" ht="13.2" spans="1:10">
      <c r="A18" s="7"/>
      <c r="B18" s="38" t="s">
        <v>252</v>
      </c>
      <c r="E18" s="45">
        <v>300</v>
      </c>
      <c r="G18" s="37"/>
      <c r="J18" s="23"/>
    </row>
    <row r="19" spans="1:10">
      <c r="A19" s="7"/>
      <c r="B19" s="39"/>
      <c r="D19" s="40"/>
      <c r="E19" s="46" t="s">
        <v>284</v>
      </c>
      <c r="G19" s="37"/>
      <c r="I19" s="1" t="s">
        <v>286</v>
      </c>
      <c r="J19" s="23"/>
    </row>
    <row r="20" ht="13.2" spans="1:10">
      <c r="A20" s="7"/>
      <c r="B20" s="39"/>
      <c r="G20" s="47">
        <v>0.1</v>
      </c>
      <c r="I20" s="47">
        <v>0.1</v>
      </c>
      <c r="J20" s="23"/>
    </row>
    <row r="21" spans="1:10">
      <c r="A21" s="7"/>
      <c r="B21" s="39"/>
      <c r="G21" s="48" t="s">
        <v>285</v>
      </c>
      <c r="I21" s="48" t="s">
        <v>285</v>
      </c>
      <c r="J21" s="23"/>
    </row>
    <row r="22" ht="13.2" spans="1:10">
      <c r="A22" s="7"/>
      <c r="B22" s="38" t="s">
        <v>255</v>
      </c>
      <c r="E22" s="45">
        <v>100</v>
      </c>
      <c r="G22" s="37"/>
      <c r="J22" s="23"/>
    </row>
    <row r="23" spans="1:10">
      <c r="A23" s="7"/>
      <c r="B23" s="39"/>
      <c r="E23" s="46" t="s">
        <v>284</v>
      </c>
      <c r="G23" s="37"/>
      <c r="J23" s="23"/>
    </row>
    <row r="24" ht="13.2" spans="1:10">
      <c r="A24" s="7"/>
      <c r="B24" s="39"/>
      <c r="G24" s="47">
        <v>0.1</v>
      </c>
      <c r="J24" s="23"/>
    </row>
    <row r="25" spans="1:10">
      <c r="A25" s="7"/>
      <c r="B25" s="39"/>
      <c r="G25" s="48" t="s">
        <v>285</v>
      </c>
      <c r="J25" s="23"/>
    </row>
    <row r="26" ht="13.2" spans="1:10">
      <c r="A26" s="7"/>
      <c r="B26" s="38" t="s">
        <v>256</v>
      </c>
      <c r="E26" s="45">
        <v>50</v>
      </c>
      <c r="G26" s="47"/>
      <c r="J26" s="23"/>
    </row>
    <row r="27" ht="13.2" spans="1:10">
      <c r="A27" s="7"/>
      <c r="B27" s="39"/>
      <c r="E27" s="46" t="s">
        <v>284</v>
      </c>
      <c r="G27" s="47"/>
      <c r="J27" s="23"/>
    </row>
    <row r="28" ht="13.2" spans="1:10">
      <c r="A28" s="7"/>
      <c r="B28" s="39"/>
      <c r="E28" s="46"/>
      <c r="G28" s="47">
        <v>0.1</v>
      </c>
      <c r="J28" s="23"/>
    </row>
    <row r="29" spans="1:10">
      <c r="A29" s="7"/>
      <c r="B29" s="39"/>
      <c r="G29" s="48" t="s">
        <v>285</v>
      </c>
      <c r="J29" s="23"/>
    </row>
    <row r="30" ht="13.2" spans="1:10">
      <c r="A30" s="7"/>
      <c r="B30" s="38" t="s">
        <v>257</v>
      </c>
      <c r="E30" s="45">
        <v>40</v>
      </c>
      <c r="J30" s="23"/>
    </row>
    <row r="31" spans="1:10">
      <c r="A31" s="7"/>
      <c r="B31" s="10"/>
      <c r="E31" s="46" t="s">
        <v>284</v>
      </c>
      <c r="J31" s="23"/>
    </row>
    <row r="32" spans="1:10">
      <c r="A32" s="7"/>
      <c r="B32" s="11"/>
      <c r="C32" s="12"/>
      <c r="D32" s="12"/>
      <c r="E32" s="12"/>
      <c r="F32" s="12"/>
      <c r="G32" s="12"/>
      <c r="H32" s="12"/>
      <c r="I32" s="12"/>
      <c r="J32" s="24"/>
    </row>
    <row r="33" spans="2:10">
      <c r="B33" s="13"/>
      <c r="C33" s="13"/>
      <c r="D33" s="13"/>
      <c r="E33" s="13"/>
      <c r="F33" s="13"/>
      <c r="G33" s="13"/>
      <c r="H33" s="13"/>
      <c r="I33" s="13"/>
      <c r="J33" s="13"/>
    </row>
    <row r="36" spans="1:8">
      <c r="A36" s="5" t="s">
        <v>287</v>
      </c>
      <c r="H36" s="28"/>
    </row>
    <row r="37" spans="1:10">
      <c r="A37" s="7"/>
      <c r="B37" s="6"/>
      <c r="C37" s="6"/>
      <c r="D37" s="6"/>
      <c r="E37" s="6"/>
      <c r="F37" s="6"/>
      <c r="G37" s="6"/>
      <c r="H37" s="43"/>
      <c r="I37" s="6"/>
      <c r="J37" s="6"/>
    </row>
    <row r="38" spans="1:11">
      <c r="A38" s="7"/>
      <c r="B38" s="31" t="s">
        <v>280</v>
      </c>
      <c r="C38" s="32" t="s">
        <v>288</v>
      </c>
      <c r="D38" s="33"/>
      <c r="E38" s="9"/>
      <c r="F38" s="9"/>
      <c r="G38" s="9"/>
      <c r="H38" s="44"/>
      <c r="I38" s="9"/>
      <c r="J38" s="20"/>
      <c r="K38" s="28"/>
    </row>
    <row r="39" spans="1:11">
      <c r="A39" s="7"/>
      <c r="B39" s="10" t="s">
        <v>265</v>
      </c>
      <c r="C39" s="34" t="s">
        <v>264</v>
      </c>
      <c r="D39" s="35"/>
      <c r="H39" s="28"/>
      <c r="J39" s="23"/>
      <c r="K39" s="28"/>
    </row>
    <row r="40" spans="1:11">
      <c r="A40" s="7"/>
      <c r="B40" s="10" t="s">
        <v>266</v>
      </c>
      <c r="C40" s="34" t="s">
        <v>282</v>
      </c>
      <c r="D40" s="35"/>
      <c r="H40" s="28"/>
      <c r="J40" s="23"/>
      <c r="K40" s="28"/>
    </row>
    <row r="41" spans="1:11">
      <c r="A41" s="7"/>
      <c r="B41" s="10"/>
      <c r="H41" s="28"/>
      <c r="J41" s="23"/>
      <c r="K41" s="28"/>
    </row>
    <row r="42" spans="1:11">
      <c r="A42" s="7"/>
      <c r="B42" s="36"/>
      <c r="C42" s="13"/>
      <c r="D42" s="13"/>
      <c r="E42" s="13"/>
      <c r="F42" s="13"/>
      <c r="G42" s="13"/>
      <c r="J42" s="23"/>
      <c r="K42" s="28"/>
    </row>
    <row r="43" spans="1:11">
      <c r="A43" s="7"/>
      <c r="B43" s="10"/>
      <c r="D43" s="37"/>
      <c r="E43" s="37" t="s">
        <v>253</v>
      </c>
      <c r="F43" s="37"/>
      <c r="G43" s="37" t="s">
        <v>283</v>
      </c>
      <c r="J43" s="23"/>
      <c r="K43" s="28"/>
    </row>
    <row r="44" ht="13.2" spans="1:11">
      <c r="A44" s="7"/>
      <c r="B44" s="38" t="s">
        <v>249</v>
      </c>
      <c r="E44" s="45">
        <v>500</v>
      </c>
      <c r="J44" s="23"/>
      <c r="K44" s="28"/>
    </row>
    <row r="45" spans="1:11">
      <c r="A45" s="7"/>
      <c r="B45" s="39"/>
      <c r="E45" s="46" t="s">
        <v>284</v>
      </c>
      <c r="J45" s="23"/>
      <c r="K45" s="28"/>
    </row>
    <row r="46" ht="13.2" spans="1:11">
      <c r="A46" s="7"/>
      <c r="B46" s="39"/>
      <c r="G46" s="47">
        <v>0.1</v>
      </c>
      <c r="J46" s="23"/>
      <c r="K46" s="28"/>
    </row>
    <row r="47" spans="1:11">
      <c r="A47" s="7"/>
      <c r="B47" s="39"/>
      <c r="G47" s="48" t="s">
        <v>285</v>
      </c>
      <c r="J47" s="23"/>
      <c r="K47" s="28"/>
    </row>
    <row r="48" ht="13.2" spans="1:11">
      <c r="A48" s="7"/>
      <c r="B48" s="38" t="s">
        <v>252</v>
      </c>
      <c r="E48" s="45">
        <v>300</v>
      </c>
      <c r="G48" s="37"/>
      <c r="J48" s="23"/>
      <c r="K48" s="28"/>
    </row>
    <row r="49" spans="1:11">
      <c r="A49" s="7"/>
      <c r="B49" s="39"/>
      <c r="D49" s="40"/>
      <c r="E49" s="46" t="s">
        <v>284</v>
      </c>
      <c r="G49" s="37"/>
      <c r="J49" s="23"/>
      <c r="K49" s="28"/>
    </row>
    <row r="50" spans="1:11">
      <c r="A50" s="7"/>
      <c r="B50" s="39"/>
      <c r="J50" s="23"/>
      <c r="K50" s="28"/>
    </row>
    <row r="51" ht="13.2" spans="1:11">
      <c r="A51" s="7"/>
      <c r="B51" s="39"/>
      <c r="G51" s="47">
        <v>0.1</v>
      </c>
      <c r="J51" s="23"/>
      <c r="K51" s="28"/>
    </row>
    <row r="52" ht="13.2" spans="1:11">
      <c r="A52" s="7"/>
      <c r="B52" s="38" t="s">
        <v>255</v>
      </c>
      <c r="E52" s="45">
        <v>100</v>
      </c>
      <c r="G52" s="48" t="s">
        <v>285</v>
      </c>
      <c r="J52" s="23"/>
      <c r="K52" s="28"/>
    </row>
    <row r="53" spans="1:11">
      <c r="A53" s="7"/>
      <c r="B53" s="39"/>
      <c r="E53" s="46" t="s">
        <v>284</v>
      </c>
      <c r="G53" s="37"/>
      <c r="J53" s="23"/>
      <c r="K53" s="28"/>
    </row>
    <row r="54" ht="13.2" spans="1:11">
      <c r="A54" s="7"/>
      <c r="B54" s="41"/>
      <c r="C54" s="12"/>
      <c r="D54" s="12"/>
      <c r="E54" s="12"/>
      <c r="F54" s="12"/>
      <c r="G54" s="49"/>
      <c r="H54" s="12"/>
      <c r="I54" s="12"/>
      <c r="J54" s="24"/>
      <c r="K54" s="28"/>
    </row>
    <row r="55" spans="2:10">
      <c r="B55" s="13"/>
      <c r="C55" s="13"/>
      <c r="D55" s="13"/>
      <c r="E55" s="13"/>
      <c r="F55" s="13"/>
      <c r="G55" s="13"/>
      <c r="H55" s="13"/>
      <c r="I55" s="13"/>
      <c r="J55" s="13"/>
    </row>
    <row r="58" spans="1:8">
      <c r="A58" s="5" t="s">
        <v>289</v>
      </c>
      <c r="H58" s="28"/>
    </row>
    <row r="59" spans="1:10">
      <c r="A59" s="7"/>
      <c r="B59" s="6"/>
      <c r="C59" s="6"/>
      <c r="D59" s="6"/>
      <c r="E59" s="6"/>
      <c r="F59" s="6"/>
      <c r="G59" s="6"/>
      <c r="H59" s="43"/>
      <c r="I59" s="6"/>
      <c r="J59" s="6"/>
    </row>
    <row r="60" spans="1:11">
      <c r="A60" s="7"/>
      <c r="B60" s="31" t="s">
        <v>280</v>
      </c>
      <c r="C60" s="32" t="s">
        <v>288</v>
      </c>
      <c r="D60" s="33"/>
      <c r="E60" s="9"/>
      <c r="F60" s="9"/>
      <c r="G60" s="9"/>
      <c r="H60" s="44"/>
      <c r="I60" s="9"/>
      <c r="J60" s="20"/>
      <c r="K60" s="28"/>
    </row>
    <row r="61" spans="1:11">
      <c r="A61" s="7"/>
      <c r="B61" s="10" t="s">
        <v>265</v>
      </c>
      <c r="C61" s="34" t="s">
        <v>290</v>
      </c>
      <c r="D61" s="35"/>
      <c r="H61" s="28"/>
      <c r="J61" s="23"/>
      <c r="K61" s="28"/>
    </row>
    <row r="62" spans="1:11">
      <c r="A62" s="7"/>
      <c r="B62" s="10" t="s">
        <v>266</v>
      </c>
      <c r="C62" s="34" t="s">
        <v>282</v>
      </c>
      <c r="D62" s="35"/>
      <c r="H62" s="28"/>
      <c r="J62" s="23"/>
      <c r="K62" s="28"/>
    </row>
    <row r="63" spans="1:11">
      <c r="A63" s="7"/>
      <c r="B63" s="10"/>
      <c r="H63" s="28"/>
      <c r="J63" s="23"/>
      <c r="K63" s="28"/>
    </row>
    <row r="64" spans="1:11">
      <c r="A64" s="7"/>
      <c r="B64" s="36"/>
      <c r="C64" s="13"/>
      <c r="D64" s="13"/>
      <c r="E64" s="13"/>
      <c r="F64" s="13"/>
      <c r="G64" s="13"/>
      <c r="J64" s="23"/>
      <c r="K64" s="28"/>
    </row>
    <row r="65" spans="1:11">
      <c r="A65" s="7"/>
      <c r="B65" s="10"/>
      <c r="D65" s="37"/>
      <c r="E65" s="37" t="s">
        <v>253</v>
      </c>
      <c r="F65" s="37"/>
      <c r="G65" s="37" t="s">
        <v>283</v>
      </c>
      <c r="J65" s="23"/>
      <c r="K65" s="28"/>
    </row>
    <row r="66" ht="13.2" spans="1:11">
      <c r="A66" s="7"/>
      <c r="B66" s="38" t="s">
        <v>249</v>
      </c>
      <c r="E66" s="45">
        <v>300</v>
      </c>
      <c r="J66" s="23"/>
      <c r="K66" s="28"/>
    </row>
    <row r="67" spans="1:11">
      <c r="A67" s="7"/>
      <c r="B67" s="39"/>
      <c r="E67" s="46" t="s">
        <v>284</v>
      </c>
      <c r="J67" s="23"/>
      <c r="K67" s="28"/>
    </row>
    <row r="68" ht="13.2" spans="1:11">
      <c r="A68" s="7"/>
      <c r="B68" s="39"/>
      <c r="G68" s="47">
        <v>0.1</v>
      </c>
      <c r="J68" s="23"/>
      <c r="K68" s="28"/>
    </row>
    <row r="69" spans="1:11">
      <c r="A69" s="7"/>
      <c r="B69" s="39"/>
      <c r="G69" s="48" t="s">
        <v>285</v>
      </c>
      <c r="J69" s="23"/>
      <c r="K69" s="28"/>
    </row>
    <row r="70" ht="13.2" spans="1:11">
      <c r="A70" s="7"/>
      <c r="B70" s="38" t="s">
        <v>252</v>
      </c>
      <c r="E70" s="45">
        <v>200</v>
      </c>
      <c r="G70" s="37"/>
      <c r="J70" s="23"/>
      <c r="K70" s="28"/>
    </row>
    <row r="71" spans="1:11">
      <c r="A71" s="7"/>
      <c r="B71" s="39"/>
      <c r="D71" s="40"/>
      <c r="E71" s="46" t="s">
        <v>284</v>
      </c>
      <c r="G71" s="37"/>
      <c r="J71" s="23"/>
      <c r="K71" s="28"/>
    </row>
    <row r="72" spans="1:11">
      <c r="A72" s="7"/>
      <c r="B72" s="39"/>
      <c r="J72" s="23"/>
      <c r="K72" s="28"/>
    </row>
    <row r="73" ht="13.2" spans="1:11">
      <c r="A73" s="7"/>
      <c r="B73" s="39"/>
      <c r="G73" s="47">
        <v>0.1</v>
      </c>
      <c r="J73" s="23"/>
      <c r="K73" s="28"/>
    </row>
    <row r="74" ht="13.2" spans="1:11">
      <c r="A74" s="7"/>
      <c r="B74" s="38" t="s">
        <v>255</v>
      </c>
      <c r="E74" s="45">
        <v>50</v>
      </c>
      <c r="G74" s="48" t="s">
        <v>285</v>
      </c>
      <c r="J74" s="23"/>
      <c r="K74" s="28"/>
    </row>
    <row r="75" spans="1:11">
      <c r="A75" s="7"/>
      <c r="B75" s="39"/>
      <c r="E75" s="46" t="s">
        <v>284</v>
      </c>
      <c r="G75" s="37"/>
      <c r="J75" s="23"/>
      <c r="K75" s="28"/>
    </row>
    <row r="76" ht="13.2" spans="1:11">
      <c r="A76" s="7"/>
      <c r="B76" s="41"/>
      <c r="C76" s="12"/>
      <c r="D76" s="12"/>
      <c r="E76" s="12"/>
      <c r="F76" s="12"/>
      <c r="G76" s="49"/>
      <c r="H76" s="12"/>
      <c r="I76" s="12"/>
      <c r="J76" s="24"/>
      <c r="K76" s="28"/>
    </row>
    <row r="77" spans="2:10">
      <c r="B77" s="13"/>
      <c r="C77" s="13"/>
      <c r="D77" s="13"/>
      <c r="E77" s="13"/>
      <c r="F77" s="13"/>
      <c r="G77" s="13"/>
      <c r="H77" s="13"/>
      <c r="I77" s="13"/>
      <c r="J77" s="13"/>
    </row>
  </sheetData>
  <pageMargins left="0.699305555555556" right="0.699305555555556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52"/>
  <sheetViews>
    <sheetView zoomScale="120" zoomScaleNormal="120" workbookViewId="0">
      <selection activeCell="B24" sqref="B24"/>
    </sheetView>
  </sheetViews>
  <sheetFormatPr defaultColWidth="9" defaultRowHeight="12.4"/>
  <cols>
    <col min="1" max="1" width="9" style="1"/>
    <col min="2" max="2" width="14.5" style="1" customWidth="1"/>
    <col min="3" max="3" width="15.625" style="1" customWidth="1"/>
    <col min="4" max="4" width="9" style="1"/>
    <col min="5" max="5" width="9.625" style="1" customWidth="1"/>
    <col min="6" max="6" width="9" style="1"/>
    <col min="7" max="7" width="11.25" style="1" customWidth="1"/>
    <col min="8" max="8" width="14.25" style="1" customWidth="1"/>
    <col min="9" max="10" width="9" style="1"/>
    <col min="11" max="11" width="6.125" style="1" customWidth="1"/>
    <col min="12" max="16384" width="9" style="1"/>
  </cols>
  <sheetData>
    <row r="1" spans="1:2">
      <c r="A1" s="2" t="s">
        <v>291</v>
      </c>
      <c r="B1" s="3" t="s">
        <v>292</v>
      </c>
    </row>
    <row r="2" spans="1:3">
      <c r="A2" s="2" t="s">
        <v>291</v>
      </c>
      <c r="B2" s="4" t="s">
        <v>293</v>
      </c>
      <c r="C2" s="4"/>
    </row>
    <row r="3" spans="1:3">
      <c r="A3" s="4"/>
      <c r="B3" s="4" t="s">
        <v>294</v>
      </c>
      <c r="C3" s="4"/>
    </row>
    <row r="5" spans="1:1">
      <c r="A5" s="5" t="s">
        <v>295</v>
      </c>
    </row>
    <row r="6" spans="2:11">
      <c r="B6" s="6"/>
      <c r="C6" s="6"/>
      <c r="D6" s="6"/>
      <c r="E6" s="6"/>
      <c r="G6" s="6"/>
      <c r="H6" s="6"/>
      <c r="I6" s="6"/>
      <c r="J6" s="6"/>
      <c r="K6" s="6"/>
    </row>
    <row r="7" spans="1:12">
      <c r="A7" s="7"/>
      <c r="B7" s="8" t="s">
        <v>296</v>
      </c>
      <c r="C7" s="9"/>
      <c r="D7" s="9"/>
      <c r="E7" s="20"/>
      <c r="F7" s="21"/>
      <c r="G7" s="22" t="s">
        <v>297</v>
      </c>
      <c r="H7" s="16"/>
      <c r="I7" s="16"/>
      <c r="J7" s="16"/>
      <c r="K7" s="25"/>
      <c r="L7" s="28"/>
    </row>
    <row r="8" spans="1:12">
      <c r="A8" s="7"/>
      <c r="B8" s="10" t="s">
        <v>265</v>
      </c>
      <c r="C8" s="1" t="s">
        <v>264</v>
      </c>
      <c r="E8" s="23"/>
      <c r="F8" s="21"/>
      <c r="G8" s="17" t="s">
        <v>265</v>
      </c>
      <c r="H8" s="1" t="s">
        <v>264</v>
      </c>
      <c r="K8" s="26"/>
      <c r="L8" s="28"/>
    </row>
    <row r="9" spans="1:12">
      <c r="A9" s="7"/>
      <c r="B9" s="10" t="s">
        <v>266</v>
      </c>
      <c r="C9" s="1" t="s">
        <v>267</v>
      </c>
      <c r="E9" s="23"/>
      <c r="F9" s="21"/>
      <c r="G9" s="17" t="s">
        <v>266</v>
      </c>
      <c r="H9" s="1" t="s">
        <v>267</v>
      </c>
      <c r="K9" s="26"/>
      <c r="L9" s="28"/>
    </row>
    <row r="10" spans="1:12">
      <c r="A10" s="7"/>
      <c r="B10" s="10"/>
      <c r="E10" s="23"/>
      <c r="F10" s="21"/>
      <c r="G10" s="17"/>
      <c r="K10" s="26"/>
      <c r="L10" s="28"/>
    </row>
    <row r="11" spans="1:12">
      <c r="A11" s="7"/>
      <c r="B11" s="10"/>
      <c r="E11" s="23"/>
      <c r="F11" s="21"/>
      <c r="G11" s="17"/>
      <c r="K11" s="26"/>
      <c r="L11" s="28"/>
    </row>
    <row r="12" spans="1:12">
      <c r="A12" s="7"/>
      <c r="B12" s="10"/>
      <c r="E12" s="23"/>
      <c r="F12" s="21"/>
      <c r="G12" s="17"/>
      <c r="K12" s="26"/>
      <c r="L12" s="28"/>
    </row>
    <row r="13" spans="1:12">
      <c r="A13" s="7"/>
      <c r="B13" s="10"/>
      <c r="E13" s="23"/>
      <c r="F13" s="21"/>
      <c r="G13" s="17"/>
      <c r="K13" s="26"/>
      <c r="L13" s="28"/>
    </row>
    <row r="14" spans="1:12">
      <c r="A14" s="7"/>
      <c r="B14" s="10"/>
      <c r="E14" s="23"/>
      <c r="F14" s="21"/>
      <c r="G14" s="17"/>
      <c r="K14" s="26"/>
      <c r="L14" s="28"/>
    </row>
    <row r="15" spans="1:12">
      <c r="A15" s="7"/>
      <c r="B15" s="10"/>
      <c r="E15" s="23"/>
      <c r="F15" s="21"/>
      <c r="G15" s="17"/>
      <c r="K15" s="26"/>
      <c r="L15" s="28"/>
    </row>
    <row r="16" spans="1:12">
      <c r="A16" s="7"/>
      <c r="B16" s="10"/>
      <c r="E16" s="23"/>
      <c r="F16" s="21"/>
      <c r="G16" s="17"/>
      <c r="K16" s="26"/>
      <c r="L16" s="28"/>
    </row>
    <row r="17" spans="1:12">
      <c r="A17" s="7"/>
      <c r="B17" s="10"/>
      <c r="E17" s="23"/>
      <c r="F17" s="21"/>
      <c r="G17" s="17"/>
      <c r="K17" s="26"/>
      <c r="L17" s="28"/>
    </row>
    <row r="18" spans="1:12">
      <c r="A18" s="7"/>
      <c r="B18" s="10"/>
      <c r="E18" s="23"/>
      <c r="F18" s="21"/>
      <c r="G18" s="17"/>
      <c r="K18" s="26"/>
      <c r="L18" s="28"/>
    </row>
    <row r="19" spans="1:12">
      <c r="A19" s="7"/>
      <c r="B19" s="11"/>
      <c r="C19" s="12"/>
      <c r="D19" s="12"/>
      <c r="E19" s="24"/>
      <c r="F19" s="21"/>
      <c r="G19" s="18"/>
      <c r="H19" s="19"/>
      <c r="I19" s="19"/>
      <c r="J19" s="19"/>
      <c r="K19" s="27"/>
      <c r="L19" s="28"/>
    </row>
    <row r="20" spans="2:11">
      <c r="B20" s="13"/>
      <c r="C20" s="13"/>
      <c r="D20" s="13"/>
      <c r="E20" s="13"/>
      <c r="G20" s="13"/>
      <c r="H20" s="13"/>
      <c r="I20" s="13"/>
      <c r="J20" s="13"/>
      <c r="K20" s="13"/>
    </row>
    <row r="21" spans="2:9">
      <c r="B21" s="14" t="s">
        <v>30</v>
      </c>
      <c r="C21" s="14" t="s">
        <v>181</v>
      </c>
      <c r="D21" s="14" t="s">
        <v>182</v>
      </c>
      <c r="G21" s="14" t="s">
        <v>183</v>
      </c>
      <c r="H21" s="14" t="s">
        <v>181</v>
      </c>
      <c r="I21" s="14" t="s">
        <v>182</v>
      </c>
    </row>
    <row r="22" spans="2:9">
      <c r="B22" s="14" t="s">
        <v>184</v>
      </c>
      <c r="C22" s="14">
        <v>200</v>
      </c>
      <c r="D22" s="15">
        <f>C22/SUM($C$22:$C$23)</f>
        <v>0.571428571428571</v>
      </c>
      <c r="G22" s="14" t="s">
        <v>185</v>
      </c>
      <c r="H22" s="14">
        <v>50</v>
      </c>
      <c r="I22" s="15">
        <f>H22/SUM($H$22:$H$27)</f>
        <v>0.138888888888889</v>
      </c>
    </row>
    <row r="23" spans="2:9">
      <c r="B23" s="14" t="s">
        <v>186</v>
      </c>
      <c r="C23" s="14">
        <v>150</v>
      </c>
      <c r="D23" s="15">
        <f>C23/SUM($C$22:$C$23)</f>
        <v>0.428571428571429</v>
      </c>
      <c r="G23" s="14" t="s">
        <v>298</v>
      </c>
      <c r="H23" s="14">
        <v>150</v>
      </c>
      <c r="I23" s="15">
        <f t="shared" ref="I23:I27" si="0">H23/SUM($H$22:$H$27)</f>
        <v>0.416666666666667</v>
      </c>
    </row>
    <row r="24" spans="7:9">
      <c r="G24" s="14" t="s">
        <v>299</v>
      </c>
      <c r="H24" s="14">
        <v>100</v>
      </c>
      <c r="I24" s="15">
        <f t="shared" si="0"/>
        <v>0.277777777777778</v>
      </c>
    </row>
    <row r="25" spans="7:9">
      <c r="G25" s="14" t="s">
        <v>300</v>
      </c>
      <c r="H25" s="14">
        <v>40</v>
      </c>
      <c r="I25" s="15">
        <f t="shared" si="0"/>
        <v>0.111111111111111</v>
      </c>
    </row>
    <row r="26" spans="7:9">
      <c r="G26" s="14" t="s">
        <v>301</v>
      </c>
      <c r="H26" s="14">
        <v>10</v>
      </c>
      <c r="I26" s="15">
        <f t="shared" si="0"/>
        <v>0.0277777777777778</v>
      </c>
    </row>
    <row r="27" spans="7:9">
      <c r="G27" s="14" t="s">
        <v>191</v>
      </c>
      <c r="H27" s="14">
        <v>10</v>
      </c>
      <c r="I27" s="15">
        <f t="shared" si="0"/>
        <v>0.0277777777777778</v>
      </c>
    </row>
    <row r="30" spans="1:1">
      <c r="A30" s="5" t="s">
        <v>302</v>
      </c>
    </row>
    <row r="31" spans="2:11">
      <c r="B31" s="6"/>
      <c r="C31" s="6"/>
      <c r="D31" s="6"/>
      <c r="E31" s="6"/>
      <c r="G31" s="6"/>
      <c r="H31" s="6"/>
      <c r="I31" s="6"/>
      <c r="J31" s="6"/>
      <c r="K31" s="6"/>
    </row>
    <row r="32" spans="1:12">
      <c r="A32" s="7"/>
      <c r="B32" s="8" t="s">
        <v>296</v>
      </c>
      <c r="C32" s="16"/>
      <c r="D32" s="16"/>
      <c r="E32" s="25"/>
      <c r="F32" s="21"/>
      <c r="G32" s="22" t="s">
        <v>297</v>
      </c>
      <c r="H32" s="16"/>
      <c r="I32" s="16"/>
      <c r="J32" s="16"/>
      <c r="K32" s="25"/>
      <c r="L32" s="28"/>
    </row>
    <row r="33" spans="1:12">
      <c r="A33" s="7"/>
      <c r="B33" s="17" t="s">
        <v>265</v>
      </c>
      <c r="C33" s="1" t="s">
        <v>303</v>
      </c>
      <c r="E33" s="26"/>
      <c r="F33" s="21"/>
      <c r="G33" s="17" t="s">
        <v>265</v>
      </c>
      <c r="H33" s="1" t="s">
        <v>303</v>
      </c>
      <c r="K33" s="26"/>
      <c r="L33" s="28"/>
    </row>
    <row r="34" spans="1:12">
      <c r="A34" s="7"/>
      <c r="B34" s="17" t="s">
        <v>266</v>
      </c>
      <c r="C34" s="1" t="s">
        <v>267</v>
      </c>
      <c r="E34" s="26"/>
      <c r="F34" s="21"/>
      <c r="G34" s="17" t="s">
        <v>266</v>
      </c>
      <c r="H34" s="1" t="s">
        <v>267</v>
      </c>
      <c r="K34" s="26"/>
      <c r="L34" s="28"/>
    </row>
    <row r="35" spans="1:12">
      <c r="A35" s="7"/>
      <c r="B35" s="17"/>
      <c r="E35" s="26"/>
      <c r="F35" s="21"/>
      <c r="G35" s="17"/>
      <c r="K35" s="26"/>
      <c r="L35" s="28"/>
    </row>
    <row r="36" spans="1:12">
      <c r="A36" s="7"/>
      <c r="B36" s="17"/>
      <c r="E36" s="26"/>
      <c r="F36" s="21"/>
      <c r="G36" s="17"/>
      <c r="K36" s="26"/>
      <c r="L36" s="28"/>
    </row>
    <row r="37" spans="1:12">
      <c r="A37" s="7"/>
      <c r="B37" s="17"/>
      <c r="E37" s="26"/>
      <c r="F37" s="21"/>
      <c r="G37" s="17"/>
      <c r="K37" s="26"/>
      <c r="L37" s="28"/>
    </row>
    <row r="38" spans="1:12">
      <c r="A38" s="7"/>
      <c r="B38" s="17"/>
      <c r="E38" s="26"/>
      <c r="F38" s="21"/>
      <c r="G38" s="17"/>
      <c r="K38" s="26"/>
      <c r="L38" s="28"/>
    </row>
    <row r="39" spans="1:12">
      <c r="A39" s="7"/>
      <c r="B39" s="17"/>
      <c r="E39" s="26"/>
      <c r="F39" s="21"/>
      <c r="G39" s="17"/>
      <c r="K39" s="26"/>
      <c r="L39" s="28"/>
    </row>
    <row r="40" spans="1:12">
      <c r="A40" s="7"/>
      <c r="B40" s="17"/>
      <c r="E40" s="26"/>
      <c r="F40" s="21"/>
      <c r="G40" s="17"/>
      <c r="K40" s="26"/>
      <c r="L40" s="28"/>
    </row>
    <row r="41" spans="1:12">
      <c r="A41" s="7"/>
      <c r="B41" s="17"/>
      <c r="E41" s="26"/>
      <c r="F41" s="21"/>
      <c r="G41" s="17"/>
      <c r="K41" s="26"/>
      <c r="L41" s="28"/>
    </row>
    <row r="42" spans="1:12">
      <c r="A42" s="7"/>
      <c r="B42" s="17"/>
      <c r="E42" s="26"/>
      <c r="F42" s="21"/>
      <c r="G42" s="17"/>
      <c r="K42" s="26"/>
      <c r="L42" s="28"/>
    </row>
    <row r="43" spans="1:12">
      <c r="A43" s="7"/>
      <c r="B43" s="17"/>
      <c r="E43" s="26"/>
      <c r="F43" s="21"/>
      <c r="G43" s="17"/>
      <c r="K43" s="26"/>
      <c r="L43" s="28"/>
    </row>
    <row r="44" spans="1:12">
      <c r="A44" s="7"/>
      <c r="B44" s="18"/>
      <c r="C44" s="19"/>
      <c r="D44" s="19"/>
      <c r="E44" s="27"/>
      <c r="F44" s="21"/>
      <c r="G44" s="18"/>
      <c r="H44" s="19"/>
      <c r="I44" s="19"/>
      <c r="J44" s="19"/>
      <c r="K44" s="27"/>
      <c r="L44" s="28"/>
    </row>
    <row r="45" spans="2:11">
      <c r="B45" s="13"/>
      <c r="C45" s="13"/>
      <c r="D45" s="13"/>
      <c r="E45" s="13"/>
      <c r="G45" s="13"/>
      <c r="H45" s="13"/>
      <c r="I45" s="13"/>
      <c r="J45" s="13"/>
      <c r="K45" s="13"/>
    </row>
    <row r="46" spans="2:9">
      <c r="B46" s="14" t="s">
        <v>30</v>
      </c>
      <c r="C46" s="14" t="s">
        <v>181</v>
      </c>
      <c r="D46" s="14" t="s">
        <v>182</v>
      </c>
      <c r="G46" s="14" t="s">
        <v>183</v>
      </c>
      <c r="H46" s="14" t="s">
        <v>181</v>
      </c>
      <c r="I46" s="14" t="s">
        <v>182</v>
      </c>
    </row>
    <row r="47" spans="2:9">
      <c r="B47" s="14" t="s">
        <v>184</v>
      </c>
      <c r="C47" s="14">
        <v>100</v>
      </c>
      <c r="D47" s="15">
        <f>C47/SUM($C$22:$C$23)</f>
        <v>0.285714285714286</v>
      </c>
      <c r="G47" s="14" t="s">
        <v>185</v>
      </c>
      <c r="H47" s="14">
        <v>100</v>
      </c>
      <c r="I47" s="15">
        <f>H47/SUM($H$22:$H$27)</f>
        <v>0.277777777777778</v>
      </c>
    </row>
    <row r="48" spans="2:9">
      <c r="B48" s="14" t="s">
        <v>186</v>
      </c>
      <c r="C48" s="14">
        <v>150</v>
      </c>
      <c r="D48" s="15">
        <f>C48/SUM($C$22:$C$23)</f>
        <v>0.428571428571429</v>
      </c>
      <c r="G48" s="14" t="s">
        <v>187</v>
      </c>
      <c r="H48" s="14">
        <v>150</v>
      </c>
      <c r="I48" s="15">
        <f t="shared" ref="I48:I52" si="1">H48/SUM($H$22:$H$27)</f>
        <v>0.416666666666667</v>
      </c>
    </row>
    <row r="49" spans="7:9">
      <c r="G49" s="14" t="s">
        <v>188</v>
      </c>
      <c r="H49" s="14">
        <v>100</v>
      </c>
      <c r="I49" s="15">
        <f t="shared" si="1"/>
        <v>0.277777777777778</v>
      </c>
    </row>
    <row r="50" spans="7:9">
      <c r="G50" s="14" t="s">
        <v>189</v>
      </c>
      <c r="H50" s="14">
        <v>40</v>
      </c>
      <c r="I50" s="15">
        <f t="shared" si="1"/>
        <v>0.111111111111111</v>
      </c>
    </row>
    <row r="51" spans="7:9">
      <c r="G51" s="14" t="s">
        <v>190</v>
      </c>
      <c r="H51" s="14">
        <v>10</v>
      </c>
      <c r="I51" s="15">
        <f t="shared" si="1"/>
        <v>0.0277777777777778</v>
      </c>
    </row>
    <row r="52" spans="7:9">
      <c r="G52" s="14" t="s">
        <v>191</v>
      </c>
      <c r="H52" s="14">
        <v>10</v>
      </c>
      <c r="I52" s="15">
        <f t="shared" si="1"/>
        <v>0.0277777777777778</v>
      </c>
    </row>
  </sheetData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数据表</vt:lpstr>
      <vt:lpstr>指标体系</vt:lpstr>
      <vt:lpstr>整体概览-实时统计</vt:lpstr>
      <vt:lpstr>整体概览-整体趋势</vt:lpstr>
      <vt:lpstr>事件分析</vt:lpstr>
      <vt:lpstr>漏斗分析</vt:lpstr>
      <vt:lpstr>属性分析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2015-06-06T02:19:00Z</dcterms:created>
  <dcterms:modified xsi:type="dcterms:W3CDTF">2022-08-04T11:13:16Z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2052-3.1.1.4956</vt:lpwstr>
  </property>
</Properties>
</file>